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JeanM1996.github.io\images\"/>
    </mc:Choice>
  </mc:AlternateContent>
  <bookViews>
    <workbookView xWindow="0" yWindow="0" windowWidth="17490" windowHeight="7905" firstSheet="4" activeTab="6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</sheets>
  <calcPr calcId="152511"/>
  <fileRecoveryPr repairLoad="1"/>
</workbook>
</file>

<file path=xl/calcChain.xml><?xml version="1.0" encoding="utf-8"?>
<calcChain xmlns="http://schemas.openxmlformats.org/spreadsheetml/2006/main">
  <c r="F2" i="9" l="1"/>
  <c r="F67" i="9"/>
  <c r="F68" i="9"/>
  <c r="F69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2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2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3" i="6"/>
  <c r="E4" i="6"/>
  <c r="E2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E65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2" i="4"/>
  <c r="J2" i="3"/>
  <c r="A43" i="4"/>
  <c r="C4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A50" i="4" s="1"/>
  <c r="D51" i="4"/>
  <c r="D52" i="4"/>
  <c r="D53" i="4"/>
  <c r="D54" i="4"/>
  <c r="A54" i="4" s="1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A74" i="4" s="1"/>
  <c r="D75" i="4"/>
  <c r="D76" i="4"/>
  <c r="D77" i="4"/>
  <c r="D78" i="4"/>
  <c r="D79" i="4"/>
  <c r="D80" i="4"/>
  <c r="D2" i="4"/>
  <c r="A47" i="4"/>
  <c r="A3" i="4"/>
  <c r="A4" i="4"/>
  <c r="A5" i="4"/>
  <c r="A6" i="4"/>
  <c r="A7" i="4"/>
  <c r="A10" i="4"/>
  <c r="A11" i="4"/>
  <c r="A15" i="4"/>
  <c r="A19" i="4"/>
  <c r="A21" i="4"/>
  <c r="A33" i="4"/>
  <c r="A35" i="4"/>
  <c r="A37" i="4"/>
  <c r="A38" i="4"/>
  <c r="A39" i="4"/>
  <c r="A44" i="4"/>
  <c r="A45" i="4"/>
  <c r="A46" i="4"/>
  <c r="A49" i="4"/>
  <c r="A51" i="4"/>
  <c r="A52" i="4"/>
  <c r="A59" i="4"/>
  <c r="A60" i="4"/>
  <c r="A67" i="4"/>
  <c r="A68" i="4"/>
  <c r="A71" i="4"/>
  <c r="A72" i="4"/>
  <c r="A75" i="4"/>
  <c r="A76" i="4"/>
  <c r="A77" i="4"/>
  <c r="A79" i="4"/>
  <c r="C74" i="4"/>
  <c r="A2" i="4"/>
  <c r="E79" i="4"/>
  <c r="E75" i="4"/>
  <c r="E76" i="4"/>
  <c r="E77" i="4"/>
  <c r="E74" i="4"/>
  <c r="E72" i="4"/>
  <c r="E71" i="4"/>
  <c r="E68" i="4"/>
  <c r="E67" i="4"/>
  <c r="E60" i="4"/>
  <c r="E59" i="4"/>
  <c r="E54" i="4"/>
  <c r="E50" i="4"/>
  <c r="E51" i="4"/>
  <c r="E52" i="4"/>
  <c r="E49" i="4"/>
  <c r="E46" i="4"/>
  <c r="E47" i="4"/>
  <c r="E45" i="4"/>
  <c r="E43" i="4"/>
  <c r="E38" i="4"/>
  <c r="E33" i="4"/>
  <c r="E21" i="4"/>
  <c r="E10" i="4"/>
  <c r="E7" i="4"/>
  <c r="E6" i="4"/>
  <c r="E5" i="4"/>
  <c r="E4" i="4"/>
  <c r="E3" i="4"/>
  <c r="E8" i="4"/>
  <c r="A8" i="4" s="1"/>
  <c r="E9" i="4"/>
  <c r="A9" i="4" s="1"/>
  <c r="E11" i="4"/>
  <c r="E12" i="4"/>
  <c r="A12" i="4" s="1"/>
  <c r="E13" i="4"/>
  <c r="A13" i="4" s="1"/>
  <c r="E14" i="4"/>
  <c r="A14" i="4" s="1"/>
  <c r="E15" i="4"/>
  <c r="E16" i="4"/>
  <c r="A16" i="4" s="1"/>
  <c r="E17" i="4"/>
  <c r="A17" i="4" s="1"/>
  <c r="E18" i="4"/>
  <c r="A18" i="4" s="1"/>
  <c r="E19" i="4"/>
  <c r="E20" i="4"/>
  <c r="A20" i="4" s="1"/>
  <c r="E22" i="4"/>
  <c r="A22" i="4" s="1"/>
  <c r="E23" i="4"/>
  <c r="A23" i="4" s="1"/>
  <c r="E24" i="4"/>
  <c r="A24" i="4" s="1"/>
  <c r="E25" i="4"/>
  <c r="A25" i="4" s="1"/>
  <c r="E26" i="4"/>
  <c r="A26" i="4" s="1"/>
  <c r="E27" i="4"/>
  <c r="A27" i="4" s="1"/>
  <c r="E28" i="4"/>
  <c r="A28" i="4" s="1"/>
  <c r="E29" i="4"/>
  <c r="A29" i="4" s="1"/>
  <c r="E30" i="4"/>
  <c r="A30" i="4" s="1"/>
  <c r="E31" i="4"/>
  <c r="A31" i="4" s="1"/>
  <c r="E32" i="4"/>
  <c r="A32" i="4" s="1"/>
  <c r="E34" i="4"/>
  <c r="A34" i="4" s="1"/>
  <c r="E35" i="4"/>
  <c r="E36" i="4"/>
  <c r="A36" i="4" s="1"/>
  <c r="E39" i="4"/>
  <c r="E40" i="4"/>
  <c r="A40" i="4" s="1"/>
  <c r="E41" i="4"/>
  <c r="A41" i="4" s="1"/>
  <c r="E42" i="4"/>
  <c r="A42" i="4" s="1"/>
  <c r="E44" i="4"/>
  <c r="E48" i="4"/>
  <c r="A48" i="4" s="1"/>
  <c r="E53" i="4"/>
  <c r="A53" i="4" s="1"/>
  <c r="E55" i="4"/>
  <c r="A55" i="4" s="1"/>
  <c r="E56" i="4"/>
  <c r="A56" i="4" s="1"/>
  <c r="E57" i="4"/>
  <c r="A57" i="4" s="1"/>
  <c r="E58" i="4"/>
  <c r="E61" i="4"/>
  <c r="A61" i="4" s="1"/>
  <c r="E62" i="4"/>
  <c r="E63" i="4"/>
  <c r="A63" i="4" s="1"/>
  <c r="E64" i="4"/>
  <c r="A64" i="4" s="1"/>
  <c r="E66" i="4"/>
  <c r="E69" i="4"/>
  <c r="A69" i="4" s="1"/>
  <c r="E70" i="4"/>
  <c r="E73" i="4"/>
  <c r="A73" i="4" s="1"/>
  <c r="E78" i="4"/>
  <c r="E80" i="4"/>
  <c r="A80" i="4" s="1"/>
  <c r="E2" i="4"/>
  <c r="C10" i="4"/>
  <c r="C9" i="4"/>
  <c r="C6" i="4"/>
  <c r="C7" i="4"/>
  <c r="C5" i="4"/>
  <c r="C20" i="4"/>
  <c r="C21" i="4"/>
  <c r="C22" i="4"/>
  <c r="C23" i="4"/>
  <c r="C24" i="4"/>
  <c r="C25" i="4"/>
  <c r="C19" i="4"/>
  <c r="C27" i="4"/>
  <c r="C29" i="4"/>
  <c r="C36" i="4"/>
  <c r="C39" i="4"/>
  <c r="C38" i="4"/>
  <c r="C46" i="4"/>
  <c r="C47" i="4"/>
  <c r="C45" i="4"/>
  <c r="C50" i="4"/>
  <c r="C51" i="4"/>
  <c r="C49" i="4"/>
  <c r="C55" i="4"/>
  <c r="C56" i="4"/>
  <c r="C57" i="4"/>
  <c r="C58" i="4"/>
  <c r="C59" i="4"/>
  <c r="C60" i="4"/>
  <c r="C54" i="4"/>
  <c r="C3" i="4"/>
  <c r="C4" i="4"/>
  <c r="C8" i="4"/>
  <c r="C11" i="4"/>
  <c r="C12" i="4"/>
  <c r="C13" i="4"/>
  <c r="C14" i="4"/>
  <c r="C15" i="4"/>
  <c r="C16" i="4"/>
  <c r="C17" i="4"/>
  <c r="C18" i="4"/>
  <c r="C26" i="4"/>
  <c r="C28" i="4"/>
  <c r="C30" i="4"/>
  <c r="C31" i="4"/>
  <c r="C32" i="4"/>
  <c r="C33" i="4"/>
  <c r="C34" i="4"/>
  <c r="C35" i="4"/>
  <c r="C40" i="4"/>
  <c r="C41" i="4"/>
  <c r="C42" i="4"/>
  <c r="C44" i="4"/>
  <c r="C48" i="4"/>
  <c r="C52" i="4"/>
  <c r="C61" i="4"/>
  <c r="C62" i="4"/>
  <c r="C63" i="4"/>
  <c r="C71" i="4"/>
  <c r="C72" i="4"/>
  <c r="C73" i="4"/>
  <c r="C2" i="4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A3" i="3"/>
  <c r="J3" i="3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2" i="3"/>
  <c r="E3" i="3"/>
  <c r="E4" i="3"/>
  <c r="E5" i="3"/>
  <c r="E6" i="3"/>
  <c r="E8" i="3"/>
  <c r="E9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41" i="3"/>
  <c r="E42" i="3"/>
  <c r="E43" i="3"/>
  <c r="E44" i="3"/>
  <c r="E46" i="3"/>
  <c r="E47" i="3"/>
  <c r="E50" i="3"/>
  <c r="E53" i="3"/>
  <c r="E55" i="3"/>
  <c r="E56" i="3"/>
  <c r="E57" i="3"/>
  <c r="E58" i="3"/>
  <c r="E59" i="3"/>
  <c r="E60" i="3"/>
  <c r="E61" i="3"/>
  <c r="E63" i="3"/>
  <c r="E64" i="3"/>
  <c r="E69" i="3"/>
  <c r="E70" i="3"/>
  <c r="E71" i="3"/>
  <c r="E72" i="3"/>
  <c r="E73" i="3"/>
  <c r="E74" i="3"/>
  <c r="E75" i="3"/>
  <c r="E76" i="3"/>
  <c r="E77" i="3"/>
  <c r="E78" i="3"/>
  <c r="E2" i="3"/>
  <c r="A78" i="4" l="1"/>
  <c r="A70" i="4"/>
  <c r="A66" i="4"/>
  <c r="A62" i="4"/>
  <c r="A58" i="4"/>
  <c r="B7" i="1" l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10" i="1"/>
  <c r="B34" i="1"/>
  <c r="B46" i="1"/>
  <c r="B58" i="1"/>
  <c r="B70" i="1"/>
  <c r="B78" i="1"/>
  <c r="B86" i="1"/>
  <c r="B98" i="1"/>
  <c r="B110" i="1"/>
  <c r="B122" i="1"/>
  <c r="B134" i="1"/>
  <c r="B150" i="1"/>
  <c r="B162" i="1"/>
  <c r="B174" i="1"/>
  <c r="B186" i="1"/>
  <c r="B198" i="1"/>
  <c r="B210" i="1"/>
  <c r="B222" i="1"/>
  <c r="B234" i="1"/>
  <c r="B246" i="1"/>
  <c r="B258" i="1"/>
  <c r="B270" i="1"/>
  <c r="B282" i="1"/>
  <c r="B294" i="1"/>
  <c r="B306" i="1"/>
  <c r="B314" i="1"/>
  <c r="B326" i="1"/>
  <c r="B338" i="1"/>
  <c r="B350" i="1"/>
  <c r="B362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304" i="1"/>
  <c r="B308" i="1"/>
  <c r="B312" i="1"/>
  <c r="B316" i="1"/>
  <c r="B320" i="1"/>
  <c r="B324" i="1"/>
  <c r="B328" i="1"/>
  <c r="B332" i="1"/>
  <c r="B336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89" i="1"/>
  <c r="B18" i="1"/>
  <c r="B26" i="1"/>
  <c r="B42" i="1"/>
  <c r="B54" i="1"/>
  <c r="B66" i="1"/>
  <c r="B82" i="1"/>
  <c r="B94" i="1"/>
  <c r="B102" i="1"/>
  <c r="B114" i="1"/>
  <c r="B126" i="1"/>
  <c r="B138" i="1"/>
  <c r="B146" i="1"/>
  <c r="B158" i="1"/>
  <c r="B170" i="1"/>
  <c r="B182" i="1"/>
  <c r="B194" i="1"/>
  <c r="B206" i="1"/>
  <c r="B218" i="1"/>
  <c r="B230" i="1"/>
  <c r="B238" i="1"/>
  <c r="B250" i="1"/>
  <c r="B262" i="1"/>
  <c r="B274" i="1"/>
  <c r="B286" i="1"/>
  <c r="B298" i="1"/>
  <c r="B310" i="1"/>
  <c r="B322" i="1"/>
  <c r="B334" i="1"/>
  <c r="B346" i="1"/>
  <c r="B358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3" i="1"/>
  <c r="B317" i="1"/>
  <c r="B321" i="1"/>
  <c r="B325" i="1"/>
  <c r="B329" i="1"/>
  <c r="B333" i="1"/>
  <c r="B337" i="1"/>
  <c r="B341" i="1"/>
  <c r="B345" i="1"/>
  <c r="B349" i="1"/>
  <c r="B353" i="1"/>
  <c r="B357" i="1"/>
  <c r="B361" i="1"/>
  <c r="B365" i="1"/>
  <c r="B369" i="1"/>
  <c r="B373" i="1"/>
  <c r="B377" i="1"/>
  <c r="B381" i="1"/>
  <c r="B385" i="1"/>
  <c r="B14" i="1"/>
  <c r="B22" i="1"/>
  <c r="B30" i="1"/>
  <c r="B38" i="1"/>
  <c r="B50" i="1"/>
  <c r="B62" i="1"/>
  <c r="B74" i="1"/>
  <c r="B90" i="1"/>
  <c r="B106" i="1"/>
  <c r="B118" i="1"/>
  <c r="B130" i="1"/>
  <c r="B142" i="1"/>
  <c r="B154" i="1"/>
  <c r="B166" i="1"/>
  <c r="B178" i="1"/>
  <c r="B190" i="1"/>
  <c r="B202" i="1"/>
  <c r="B214" i="1"/>
  <c r="B226" i="1"/>
  <c r="B242" i="1"/>
  <c r="B254" i="1"/>
  <c r="B266" i="1"/>
  <c r="B278" i="1"/>
  <c r="B290" i="1"/>
  <c r="B302" i="1"/>
  <c r="B318" i="1"/>
  <c r="B330" i="1"/>
  <c r="B342" i="1"/>
  <c r="B354" i="1"/>
  <c r="B366" i="1"/>
  <c r="B370" i="1"/>
  <c r="B386" i="1"/>
  <c r="B374" i="1"/>
  <c r="B382" i="1"/>
  <c r="B378" i="1"/>
  <c r="B2" i="1"/>
  <c r="B5" i="1"/>
  <c r="B3" i="1"/>
  <c r="B4" i="1"/>
  <c r="B1" i="1"/>
  <c r="B6" i="1"/>
  <c r="A65" i="4" l="1"/>
  <c r="M65" i="4" s="1"/>
</calcChain>
</file>

<file path=xl/sharedStrings.xml><?xml version="1.0" encoding="utf-8"?>
<sst xmlns="http://schemas.openxmlformats.org/spreadsheetml/2006/main" count="3607" uniqueCount="1273">
  <si>
    <t>http://elproa.cl/web/detallenoticia.asp?id=21793</t>
  </si>
  <si>
    <t>http://www.cablenoticias.cl/en-llolleo-un-hombre-asesino-a-su-mujer-y-luego-se-quito-la-vida</t>
  </si>
  <si>
    <t>http://www.latercera.com/noticia/buscan-presunto-autor-femicidio-melipilla/</t>
  </si>
  <si>
    <t>https://www.eldeber.com.bo/mundo/Boliviana-primera-victima-de-feminicidio-en-Chile-en-2017--20170126-0034.html</t>
  </si>
  <si>
    <t>http://eju.tv/2017/01/feminicida-confiesa-en-sucre-que-mato-a-su-esposa-en-chile/</t>
  </si>
  <si>
    <t>http://www.cooperativa.cl/noticias/pais/policial/femicidio/pdi-busca-a-pareja-e-hija-de-mujer-asesinada-en-melipilla/2017-01-25/151234.html</t>
  </si>
  <si>
    <t>http://www.cooperativa.cl/noticias/pais/policial/femicidio/pareja-de-mujer-asesinada-en-melipilla-confeso-el-crimen-en-bolivia/2017-01-27/125517.html</t>
  </si>
  <si>
    <t>http://www.la-razon.com/sociedad/Chile-boliviana-primera-victima-feminicidio-2017_0_2644535562.html</t>
  </si>
  <si>
    <t>https://www.noticiasfides.com/nacional/seguridad/la-primera-victima-de-feminicidio-en-chile-en-lo-que-va-del-ano-es-una-boliviana-374886</t>
  </si>
  <si>
    <t>https://docs.google.com/spreadsheets/d/1OY8YymIGJzEYTBVKwpkGE-vDsYz3rKSjNe1TUj3qt40/edit?ts=588a2a74#gid=0</t>
  </si>
  <si>
    <t>http://www.ntn24.com/video/nuevo-caso-de-feminicidio-en-chile-130962</t>
  </si>
  <si>
    <t>http://www.noticiasrcn.com/videos/colombiana-habria-sido-asesinada-su-expareja-tambien-colombiano-chile</t>
  </si>
  <si>
    <t>http://www.minmujeryeg.cl/prensa/noticias-prensa/no-queremos-las-mujeres-migrantes-se-sientan-desprotegidas-necesitamos-se-atrevan-denunciar-cuando-estan-viviendo-violencia/</t>
  </si>
  <si>
    <t>http://www.eldesconcierto.cl/2017/02/09/femicidio-en-san-bernardo-es-el-septimo-perpetrado-durante-los-primeros-meses-de-2017/</t>
  </si>
  <si>
    <t>https://www.araucaniacuenta.cl/ministra-s-perez-condeno-energicamente-el-femicidio-de-carmen-vazquez-de-la-comuna-de-san-javier/</t>
  </si>
  <si>
    <t>http://www.diarioelcentro.cl/noticias/policial/primer-femicidio-del-ano-se-registro-ayer-en-carrizal</t>
  </si>
  <si>
    <t>http://lanacion.cl/2017/02/06/ministra-s-de-la-mujer-repudio-femicidio-de-carmen-vasquez/</t>
  </si>
  <si>
    <t>http://www.edicioncero.cl/2017/02/ministerio-de-la-mujer-el-femicidio-es-un-crimen-que-se-puede-evitar/</t>
  </si>
  <si>
    <t>http://www.atentos.cl/2017/02/05/brutal-femicidio-sujeto-mata-esposa-golpe-hacha-la-cabeza/</t>
  </si>
  <si>
    <t>http://www.biobiochile.cl/noticias/nacional/region-metropolitana/2017/02/09/ministra-de-la-mujer-s-y-femicidio-en-san-bernardo-urge-un-cambio-cultural-entre-todos.shtml</t>
  </si>
  <si>
    <t>http://www.t13.cl/noticia/nacional/Femicidio-Mujer-de-26-anos-muere-por-un-disparo-en-San-Bernardo</t>
  </si>
  <si>
    <t>http://www.diarioeldia.cl/pais/hombre-asesina-su-expareja-se-suicida-en-plena-publica</t>
  </si>
  <si>
    <t>http://www.chvnoticias.cl/policial/nuevo-femicidio-mujer-de-26-anos-murio-por-impactos-de-bala/2017-02-09/002344.html</t>
  </si>
  <si>
    <t>http://www.latercera.com/noticia/indagan-posible-femicidio-posterior-suicidio-la-pintana/</t>
  </si>
  <si>
    <t>http://www.cooperativa.cl/noticias/pais/policial/femicidio/joven-viajo-a-santiago-para-pasar-con-su-pololo-el-dia-del-amor-y-este/2017-02-15/072049.html</t>
  </si>
  <si>
    <t>http://www.adnradio.cl/noticias/nacional/investigan-posible-femicidio-en-la-pintana/20170215/nota/3384238.aspx</t>
  </si>
  <si>
    <t>http://www.24horas.cl/nacional/la-celebracion-previa-a-la-muerte-de-joven-pareja-en-la-pintana-2301666</t>
  </si>
  <si>
    <t>https://eldiario.news/nacional/indagan_posible_femicidio_y_posterior_suicidio_en_la_pintana</t>
  </si>
  <si>
    <t>http://www.eldesconcierto.cl/2017/02/23/investigan-posible-femicidio-la-comuna-pemuco/</t>
  </si>
  <si>
    <t>http://www.ladiscusion.cl/detalle/10722/Investigan-posible-femicidio-en-la-comuna-de-Pemuco#sthash.OhN0EPbC.dpbs</t>
  </si>
  <si>
    <t>http://www.biobiochile.cl/noticias/nacional/region-del-bio-bio/2017/02/23/formalizaran-a-menor-de-14-anos-por-eventual-participacion-en-asesinato-de-sus-padres.shtml</t>
  </si>
  <si>
    <t>http://www.emol.com/noticias/Nacional/2017/02/24/846536/Autoridades-investigan-hallazgo-de-los-cuerpos-de-un-matrimonio-en-Pemuco.html</t>
  </si>
  <si>
    <t>http://www.24horas.cl/nacional/mujer-muere-asesinada-por-ex-pareja-en-el-septimo-femicidio-de-2017-2328768</t>
  </si>
  <si>
    <t>http://www.diarioelcentro.cl/noticias/cronica/femicidio-en-molina-familia-de-victima-exige-un-castigo-ejemplar</t>
  </si>
  <si>
    <t>http://www.eldiario.ec/lamarea/noticias-manta-ecuador/426224-una-joven-de-24-anos-es-la-nueva-victima-de-feminicidio-en-chile/</t>
  </si>
  <si>
    <t>http://www.cooperativa.cl/noticias/pais/policial/femicidio/tribunal-decreto-prision-preventiva-para-imputado-por-femicidio-en-molina/2017-03-17/173747.html</t>
  </si>
  <si>
    <t>http://www.diarioeldia.cl/pais/nuevo-caso-femicidio-hija-menor-encuentra-muertos-sus-padres</t>
  </si>
  <si>
    <t>https://www.efe.com/efe/america/sociedad/una-mujer-de-48-anos-es-la-decima-victima-feminicidio-en-chile-2017/20000013-3224955</t>
  </si>
  <si>
    <t>http://www.chvnoticias.cl/policial/nuevo-femicidio-hombre-mato-a-su-pareja-y-luego-se-suicido/2017-03-29/212300.html</t>
  </si>
  <si>
    <t>http://www.cooperativa.cl/noticias/pais/policial/femicidio/un-femicidio-y-posterior-suicidio-quedo-al-descubierto-en-pudahuel/2017-03-29/213635.html</t>
  </si>
  <si>
    <t>http://www.wradio.com.co/noticias/internacional/una-mujer-de-48-anos-es-la-decima-victima-de-feminicidio-en-chile-en-2017/20170331/nota/3423708.aspx</t>
  </si>
  <si>
    <t>http://www.eldivisadero.cl/noticia-41810</t>
  </si>
  <si>
    <t>http://redaysen.com/hombre-acusado-de-femicidio-confeso-que-estrangulo-a-su-pareja_1503061272oZkxP.html</t>
  </si>
  <si>
    <t>http://www.emol.com/noticias/Nacional/2017/02/10/844443/En-prision-sujeto-acusado-de-estrangular-su-pareja-y-luego-esconder-su-cuerpo-durante-cinco-dias-en-Coyhaique.html</t>
  </si>
  <si>
    <t>http://www.latercera.com/noticia/nuevo-femicidio-sujeto-mata-pareja-luego-se-suicida-san-bernardo/</t>
  </si>
  <si>
    <t>http://www.24horas.cl/nacional/integra-emite-declaracion-publica-tras-femicidio-de-funcionaria-de-jardin-infantil-2344076</t>
  </si>
  <si>
    <t>https://www.msn.com/es-us/noticias/estados-unidos/nuevo-femicidio-sujeto-mata-a-su-pareja-y-luego-se-suicida-en-san-bernardo/ar-BBz6gju?li=BBqdph5</t>
  </si>
  <si>
    <t>http://www.biobiochile.cl/noticias/nacional/chile/2017/03/31/nuevo-femicidio-en-san-bernardo-hombre-se-habria-ahorcado-tras-matar-a-su-pareja.shtml</t>
  </si>
  <si>
    <t>http://www.diariocronica.cl/?p=9134</t>
  </si>
  <si>
    <t>http://www.24horas.cl/nacional/limache-encuentran-a-pareja-muerta-al-interior-de-un-hogar-2343880</t>
  </si>
  <si>
    <t>http://www.elmostrador.cl/noticias/pais/2017/04/05/mujer-de-30-anos-se-convierte-en-la-victima-12-de-feminicidio-en-lo-que-va-del-ano/</t>
  </si>
  <si>
    <t>http://www.canal74.cl/2017/04/labocar-de-carabineros-investiga-femicidio-en-la-comuna-de-limache/</t>
  </si>
  <si>
    <t>http://www.biobiochile.cl/noticias/nacional/chile/2017/04/01/impacto-luego-de-tres-casos-de-femicidio-en-menos-de-48-horas-es-un-problema-pais.shtml</t>
  </si>
  <si>
    <t>http://www.radiovalparaiso.cl/2017/03/31/labocar-investiga-posible-femicidio-posterior-suicidio-del-autor-limache/</t>
  </si>
  <si>
    <t>http://www.latercera.com/noticia/los-detalles-del-macabro-femicidio-antofagasta-segun-relato-del-fiscal/</t>
  </si>
  <si>
    <t>http://www.latercera.com/noticia/encuentran-cadaver-mujer-al-interior-clinica-oftalmologica-antofagasta/</t>
  </si>
  <si>
    <t>http://www.diarioantofagasta.cl/regional/antofagasta/74368/la-impactante-confesion-del-imputado-femicidio-antofagasta/</t>
  </si>
  <si>
    <t>http://www.emol.com/noticias/Nacional/2017/04/04/852715/Sujeto-confiesa-haber-asesinado-a-su-ex-esposa-al-interior-de-una-clinica-oftalmologica-en-Antofagasta.html</t>
  </si>
  <si>
    <t>http://www.cooperativa.cl/noticias/pais/policial/femicidio/antofagasta-joven-madre-fue-asesinada-por-su-ex-marido/2017-04-05/123641.html</t>
  </si>
  <si>
    <t>http://www.eldinamo.cl/nacional/2017/04/07/la-insolita-confesion-telefonica-de-acusado-de-femicidio-que-indigno-a-antofagasta/</t>
  </si>
  <si>
    <t>http://www.biobiochile.cl/noticias/nacional/chile/2017/04/07/formalizan-a-hombre-acusado-de-femicidio-en-antofagasta.shtml</t>
  </si>
  <si>
    <t>http://www.chvnoticias.cl/policial/carabineros-detuvo-a-principal-sospechoso-de-femicidio-en-dalcahue/2017-04-08/163913.html</t>
  </si>
  <si>
    <t>http://laopiniondechiloe.cl/la-violenta-historia-de-oriundos-de-osorno-tras-virtual-femicidio-en-dalcahue/</t>
  </si>
  <si>
    <t>http://www.radioestrelladelmar.cl/?p=11638</t>
  </si>
  <si>
    <t>https://www.epicentrochile.com/2017/04/12/imputado-por-femicidio-en-chiloe-quedo-en-prision-preventiva/</t>
  </si>
  <si>
    <t>http://www.paislobo.cl/2017/04/denuncias-de-violencia-intrafamiliar-en.html</t>
  </si>
  <si>
    <t>http://www.24horas.cl/nacional/femicidio-en-rancagua-joven-asesina-a-su-polola-y-luego-se-quita-la-vida-2352876</t>
  </si>
  <si>
    <t>http://redohiggins.com/femicidio-joven-de-29-anos-mato-a-su-pareja-y-posteriormente-se-suicido_1491934845Rnfx4.html</t>
  </si>
  <si>
    <t>http://www.newsjs.com/cl/femicidio-en-rancagua-joven-asesina-a-su-polola-y-luego-se-quita-la-vida/dpKmJSdh-V7-ioMJtB5jxz3BA5HJM/</t>
  </si>
  <si>
    <t>http://lanoticiaonline.cl/primer-femicidio-del-ano-en-la-sexta-region/</t>
  </si>
  <si>
    <t>http://lanacion.cl/2017/04/16/hombre-mato-a-su-esposa-con-un-hachazo-y-se-entrego-a-carabineros/</t>
  </si>
  <si>
    <t>http://www.eldesconcierto.cl/2017/04/16/brutal-femicidio-en-tome-hombre-mato-de-un-hachazo-a-su-esposa/</t>
  </si>
  <si>
    <t>http://elcachapoal.cl/ec/2017/05/08/femicidio-n-14/</t>
  </si>
  <si>
    <t>http://lanacion.cl/2017/04/16/amplian-detencion-de-sujeto-que-mato-a-hachazos-a-su-esposa/</t>
  </si>
  <si>
    <t>http://www.radioportales.cl/contenido/hombre-mato-de-un-hachazo-a-su-esposa-en-tome/</t>
  </si>
  <si>
    <t>https://eldiario.news/nacional/hombre_mato_de_un_hachazo_a_su_esposa_en_tome</t>
  </si>
  <si>
    <t>https://reportechile.net/2017/04/hombre-mato-de-un-hachazo-a-su-esposa-en-tome/</t>
  </si>
  <si>
    <t>http://www.latercera.com/noticia/indagan-nuevo-femicidio-en-rancagua/</t>
  </si>
  <si>
    <t>http://www.minmujeryeg.cl/prensa/noticias-prensa/nacional-noticias/ministra-pascual-femicidio-rancagua-las-victimas-femicidios-pais-reflejo-la-violencia-machista-todos-todas-debemos-erradicar/</t>
  </si>
  <si>
    <t>https://www.cooperativa.cl/noticias/pais/policial/pdi-busca-a-ex-pareja-de-joven-que-aparecio-colgada-en-canete-es/2017-05-02/122658.html</t>
  </si>
  <si>
    <t>http://www.puranoticia.cl/noticias/regiones/ambos-ahorcados-el-macabro-hecho-que-conmociona-a-canete/2017-05-02/140852.html</t>
  </si>
  <si>
    <t>http://www.biobiochile.cl/noticias/nacional/region-del-bio-bio/2017/05/02/investigan-presunto-femicidio-de-joven-de-23-anos-encontrada-en-canete.shtml</t>
  </si>
  <si>
    <t>http://www.cooperativa.cl/noticias/pais/policial/pdi-busca-a-ex-pareja-de-joven-que-aparecio-colgada-en-canete-es/2017-05-02/122658.html</t>
  </si>
  <si>
    <t>http://www.24horas.cl/nacional/agresor-se-quita-la-vida-tras-asesinar-a-su-ex-pareja-en-la-octava-region-2371147</t>
  </si>
  <si>
    <t>http://www.elconcecuente.cl/noticia/sociedad/femicidio-la-encontraron-sin-vida-atada-un-arbol</t>
  </si>
  <si>
    <t>http://www.latercera.com/noticia/mujer-coquimbana-seria-la-decimocuarta-victima-feminicidio-este-ano/</t>
  </si>
  <si>
    <t>http://www.diarioeldia.cl/policial/victima-agresor-se-enfrentaron-en-ovalle-previo-femicidio-en-coquimbo</t>
  </si>
  <si>
    <t>http://www.diarioeldia.cl/policial/coquimbo/asesinada-punaladas-muere-mujer-manos-su-pareja-en-tierras-blancas</t>
  </si>
  <si>
    <t>http://www.eluniversal.com.mx/articulo/mundo/2017/05/6/feminicidio-en-chile-mujer-de-60-anos-es-apunalada-por-su-pareja</t>
  </si>
  <si>
    <t>http://lanacion.cl/2017/05/06/mujer-de-60-anos-se-convirtio-en-nueva-victima-de-femicidio/</t>
  </si>
  <si>
    <t>http://www.diariolaregion.cl/portal/?p=46584</t>
  </si>
  <si>
    <t>http://www.biobiochile.cl/noticias/nacional/region-de-coquimbo/2017/05/06/ministra-pascual-condena-presunto-femicidio-en-coquimbo-y-anuncia-apoyo-a-familiares.shtml</t>
  </si>
  <si>
    <t>http://www.minmujeryeg.gob.cl/prensa/noticias-prensa/noticias-destacadas-home/ministra-claudia-pascual-estamos-tomando-contacto-las-familias-karen-michea-magyory-ponce-ofrecerles-apoyo-psicosocial-legal/</t>
  </si>
  <si>
    <t>https://www.portalnoticias.cl/2017/05/15/la-mato-a-golpes-y-dijo-que-habia-sido-un-ataque-de-epilepsia/</t>
  </si>
  <si>
    <t>http://www.emol.com/noticias/Nacional/2017/05/23/859564/Cifra-de-femicidios-registra-alza-en-los-primeros-cinco-meses-de-2017-respecto-de-igual-periodo-del-ano-pasado.html</t>
  </si>
  <si>
    <t>http://www.radioprofeta.cl/magyory-la-historia-de-la-joven-con-discapacidad-cognitiva-asesinada-por-su-pareja/</t>
  </si>
  <si>
    <t>http://www.diarioeldia.cl/pais/mujer-32-anos-es-decimoquinta-victima-feminicidio-en-chile-en-2017</t>
  </si>
  <si>
    <t>http://lanacion.cl/2017/05/14/nuevo-caso-de-femicidio-y-parricidio-en-san-francisco-de-mostazal/</t>
  </si>
  <si>
    <t>http://www.24horas.cl/nacional/hombre-mata-a-su-esposa-e-hijo-en-san-francisco-de-mostazal-2383055</t>
  </si>
  <si>
    <t>http://www.soychile.cl/Santiago/Policial/2017/05/14/463761/Mujer-de-32-anos-es-la-decimoquinta-victima-de-feminicidio-en-2017.aspx</t>
  </si>
  <si>
    <t>http://www.emol.com/noticias/Nacional/2017/05/14/858282/Detiene-a-hombre-de-33-anos-acusado-de-matar-a-su-pareja-e-hijo-en-San-Francisco-de-Mostazal.html</t>
  </si>
  <si>
    <t>http://www.chvnoticias.cl/policial/mato-a-su-mujer-embarazada-y-a-su-hijo-adolescente-en-feroz-parricidio/2017-05-14/170722.html</t>
  </si>
  <si>
    <t>http://www.latercera.com/noticia/brutal-femicidio-remecio-freire/</t>
  </si>
  <si>
    <t>http://www.cnnchile.com/noticia/2017/05/26/dos-hombres-fueron-formalizados-tras-calcinar-una-mujer-en-freire</t>
  </si>
  <si>
    <t>http://www.diarioeldia.cl/pais/mujer-es-quemada-viva-por-su-marido-amigo-en-sur-chile</t>
  </si>
  <si>
    <t>http://www.elmostrador.cl/braga/2017/05/27/impactante-caso-de-femicidio-josefina-fue-asesinada-por-su-pareja-y-un-amigo/</t>
  </si>
  <si>
    <t>http://www.24horas.cl/nacional/pareja-y-su-amigo-fueron-autores-de-femicidio-de-mujer-calcinada-en-freire-2397631</t>
  </si>
  <si>
    <t>http://www.emol.com/noticias/Nacional/2017/05/27/860263/Mujer-muere-quemada-tras-ser-golpeada-por-su-pareja-y-un-amigo-en-la-comuna-de-Freire.html</t>
  </si>
  <si>
    <t>https://www.araucaniacuenta.cl/tag/josefina-allilef-huenchumil/</t>
  </si>
  <si>
    <t>http://www.latercera.com/noticia/hombre-asfixio-pareja-recoleta-quedo-prision-preventiva/</t>
  </si>
  <si>
    <t>http://www.latercera.com/noticia/femicidio-6/</t>
  </si>
  <si>
    <t>https://elcomercio.pe/peru/ancash/justicia-chilena-dicta-prision-preventiva-asesino-chimbotana-432930</t>
  </si>
  <si>
    <t>http://diariodechimbote.com/noticias-anteriores/94851-chimotana-es-asesinada-por-su-esposo-en-chile</t>
  </si>
  <si>
    <t>http://rpp.pe/mundo/chile/feminicidio-una-peruana-de-40-anos-fue-asesinada-por-su-pareja-en-chile-noticia-1055540</t>
  </si>
  <si>
    <t>http://www.chvnoticias.cl/nacional/ex-pareja-seria-responsable-de-femicidio-y-homicidio-en-temuco/2017-06-07/140951.html</t>
  </si>
  <si>
    <t>http://www.redinformativa.cl/portada/tragedia-madre-y-dos-hijos-mueren-en-incendio/</t>
  </si>
  <si>
    <t>http://www.soychile.cl/Temuco/Sociedad/2017/06/08/468850/Ministra-Pascual-condeno-el-homicidio-de-Roxana-Bravo-y-sus-dos-hijos.aspx</t>
  </si>
  <si>
    <t>http://www.soychile.cl/Temuco/Policial/2017/06/06/468548/Madre-y-sus-dos-hijos-habrian-sido-asesinados-antes-del-incendio-en-San-Ramon.aspx</t>
  </si>
  <si>
    <t>http://www.biobiochile.cl/noticias/nacional/region-de-la-araucania/2017/06/07/investigan-a-hombre-que-habria-asesinado-y-quemado-a-mujer-con-sus-hijos-en-la-araucania.shtml</t>
  </si>
  <si>
    <t>http://www.temucodiario.cl/sitio/2017/06/09/temuco-decretan-prision-preventiva-de-imputado-por-un-delito-de-femicidio-dos-homicidios-e-incendio-en-san-ramon/</t>
  </si>
  <si>
    <t>http://www.eldesconcierto.cl/2017/06/08/ya-van-35-femicidios-en-el-ano-mujer-y-su-hija-en-la-araucania-son-las-nuevas-victimas/</t>
  </si>
  <si>
    <t>https://www.cooperativa.cl/noticias/pais/policial/femicidio/carabineros-detuvo-a-presunto-autor-de-femicidio-en-san-bernardo/2017-06-13/215823.html</t>
  </si>
  <si>
    <t>http://www.chvnoticias.cl/policial/detuvieron-a-responsable-del-homicidio-a-una-mujer-en-san-bernardo/2017-06-14/065502.html</t>
  </si>
  <si>
    <t>http://www.diarioeldia.cl/policial/presunto-autor-femicidio-ocurrido-en-companias-pasara-control-detencion</t>
  </si>
  <si>
    <t>http://www.diarioeldia.cl/policial/hombre-comete-femicidio-luego-intenta-suicidarse-en-serena</t>
  </si>
  <si>
    <t>http://www.elobservatodo.cl/etiquetas/fidelina-del-carmen-robledo-villalobos</t>
  </si>
  <si>
    <t>http://www.diariolaregion.cl/portal/?p=48894</t>
  </si>
  <si>
    <t>http://www.biobiochile.cl/noticias/nacional/region-de-coquimbo/2017/07/29/mujer-murio-estrangulada-en-la-serena-y-pareja-intento-suicidarse-investigan-femicidio.shtml</t>
  </si>
  <si>
    <t>http://www.24horas.cl/regiones/coquimbo/femicidio-en-las-companias--2463701</t>
  </si>
  <si>
    <t>http://www.biobiochile.cl/noticias/nacional/chile/2017/08/10/detienen-a-un-hombre-sorprendido-en-flagrancia-mientras-cometia-un-femicidio-en-santiago.shtml</t>
  </si>
  <si>
    <t>http://www.minmujeryeg.cl/prensa/noticias-prensa/nacional-noticias/ministra-pascual-tomado-contacto-la-familia-le-daremos-apoyo-legal-sicologico-requieran/</t>
  </si>
  <si>
    <t>https://www.publimetro.cl/cl/noticias/2017/08/10/femicidio-santiago-detienen-hombre-ataco-arma-blanca-pareja.html</t>
  </si>
  <si>
    <t>http://www.emol.com/noticias/Nacional/2017/08/11/870638/Carabineros-detuvo-a-un-hombre-por-nuevo-caso-de-femicidio-en-Santiago-Centro.html</t>
  </si>
  <si>
    <t>http://www.soychile.cl/Santiago/Policial/2017/08/10/481009/Carabineros-sorprendio-a-hombre-cometiendo-un-femicidio-en-Santiago.aspx</t>
  </si>
  <si>
    <t>http://www.latercera.com/noticia/femicidio-lontue-hombre-mato-expareja-la-via-publica-luego-se-suicido/</t>
  </si>
  <si>
    <t>https://www.publimetro.cl/cl/noticias/2017/08/27/femicidio-curico-baleo-ex-pareja-frente-hijos-luego-se-suicido.html</t>
  </si>
  <si>
    <t>http://cronicanoticias.cl/noticias/jacqueline-del-transito-soto-fuentes/</t>
  </si>
  <si>
    <t>http://www.radiocondell.cl/2017/08/28/nuevo-femicidio-individuo-frente-a-los-hijos-mato-a-su-esposa-y-luego-se-suicido/</t>
  </si>
  <si>
    <t>http://www.diariolaprensa.cl/curico/femicidio-y-posterior-suicidio-estremece-a-lontue/</t>
  </si>
  <si>
    <t>http://www.vivimoslanoticia.cl/curico/hombre-asesina-a-ex-pareja-y-luego-se-quita-la-vida-en-lontue/</t>
  </si>
  <si>
    <t>http://www.biobiochile.cl/noticias/nacional/region-de-aysen/2017/08/31/investigan-femicidio-en-aysen-joven-madre-fue-hallada-muerta-y-policia-busca-a-su-pareja.shtml</t>
  </si>
  <si>
    <t>http://www.eldivisadero.cl/noticia-44584</t>
  </si>
  <si>
    <t>https://cl.iurex.com/noticia/femicidio-en-cochrane-este-domingo-formalizan-a-imputado/1385727</t>
  </si>
  <si>
    <t>http://www.biobiochile.cl/noticias/nacional/region-metropolitana/2017/09/07/brigada-de-homicidios-confirma-que-cuerpo-encontrado-en-melipilla-corresponde-a-una-mujer.shtml</t>
  </si>
  <si>
    <t>http://www.lasnoticiasdemalleco.cl/2017/09/12/en-angol-detienen-al-presunto-responsable-del-femicidio-de-una-mujer-hallada-en-el-rio-maipo-en-melipilla/</t>
  </si>
  <si>
    <t>https://www.msn.com/es-cl/noticias/nacional/detienen-a-presunto-autor-del-asesinato-de-joven-descuartizada-en-melipilla/ar-AArJ6bD</t>
  </si>
  <si>
    <t>http://www.latercera.com/noticia/melipilla-Detenido-descuartizamiento-joven-sera-formalizado-femicidio/</t>
  </si>
  <si>
    <t>http://www.24horas.cl/nacional/familia-confirma-identidad-de-mujer-descuartizada-en-melipilla-tras-reconocer-tatuaje-2500161</t>
  </si>
  <si>
    <t>https://docs.google.com/spreadsheets/d/1YoRhvIyEnnM8PNWDB1dRu279pTIeFMVqCAuX5KTXSuU/edit#gid=58251827</t>
  </si>
  <si>
    <t>http://www.minmujeryeg.cl/prensa/repudiamos-energicamente-la-violencia-machista-responsabilidad-toda-la-sociedad-avanzar-pronta-erradicacion/ http://www.centrodenoticias.cl/index.php/ultima-hora/805-asesinato-cuz-cuz-joven-abuelo http://www.diarioeldia.cl/policial/confuso-incidente-deja-mujer-fallecida-adulto-mayor-herido-en-illapel</t>
  </si>
  <si>
    <t>http://www.diarioeldia.cl/policial/hombre-acusado-dar-muerte-mujer-en-illapel-se-quito-vida http://www.centrodenoticias.cl/index.php/ultima-hora/808-autor-de-homicidio-que-conmociono-a-illapel-se-quito-la-vida</t>
  </si>
  <si>
    <t>https://www.publimetro.cl/cl/noticias/2017/09/09/pdi-investiga-la-muerte-una-mujer-27-anos-sector-cuz-cuz-ilapel.html</t>
  </si>
  <si>
    <t>http://www.diarioeldia.cl/policial/confuso-incidente-deja-mujer-fallecida-adulto-mayor-herido-en-illapel</t>
  </si>
  <si>
    <t>http://www.diarioeldia.cl/policial/hombre-acusado-dar-muerte-mujer-en-illapel-se-quito-vida</t>
  </si>
  <si>
    <t>http://www.cooperativa.cl/noticias/pais/policial/pdi-investiga-homicidio-de-mujer-en-illapel/2017-09-09/214838.html</t>
  </si>
  <si>
    <t>http://www.soychile.cl/Copiapo/Policial/2017/09/09/486509/Mataron-con-una-escopeta-a-mujer-de-27-anos-en-Illapel-tambien-hirieron-a-su-abuelo.aspx</t>
  </si>
  <si>
    <t>http://www.24horas.cl/nacional/sujeto-golpeo-con-utensilios-de-cocina-a-ex-pareja-tras-asesinarla-en-nunoa-2522903</t>
  </si>
  <si>
    <t>http://aa.com.tr/es/mundo/colombiana-fue-asesinada-por-su-expareja-en-santiago-de-chile-/926801 http://www.lacuarta.com/noticia/detalles-de-nunoa/</t>
  </si>
  <si>
    <t>http://www.cooperativa.cl/noticias/pais/policial/femicidio/un-femicidio-y-posterior-suicidio-se-registro-en-nunoa/2017-10-03/111913.html</t>
  </si>
  <si>
    <t>http://aa.com.tr/es/mundo/colombiana-fue-asesinada-por-su-expareja-en-santiago-de-chile-/926801</t>
  </si>
  <si>
    <t>https://costurerassinfronteras.blogspot.com/2017/10/heroinas-monica-alexandra-huertas-araya.html</t>
  </si>
  <si>
    <t>http://tvcanal5.cl/femicidio-hombre-apunalo-a-su-pareja-y-luego-se-suicido-en-el-living-de-su-casa/ https://cronicanoticiosa.com/2017/10/20/femicidio-y-suicidio-estremece-a-la-localidad-de-tinguiririca/</t>
  </si>
  <si>
    <t>https://www.cooperativa.cl/noticias/pais/policial/femicidio/hombre-mato-a-su-conviviente-y-se-suicido/2017-10-20/141029.html</t>
  </si>
  <si>
    <t>https://reportechile.net/2017/10/hombre-mato-a-su-conviviente-y-se-suicido-en-san-fernando/</t>
  </si>
  <si>
    <t>http://www.elchelenko.cl/2017/10/familia-de-mujer-desaparecida-en.html http://aysenlinea.cl/mujer-desaparecida-habria-sido-encontrada-muerta-al-interior-de-una-vivienda-en-coyhaique/</t>
  </si>
  <si>
    <t>http://www.elchelenko.cl/2017/10/encuentran-el-cuerpo-sin-vida-de-mujer.html</t>
  </si>
  <si>
    <t>http://www.eldivisadero.cl/noticia-45286</t>
  </si>
  <si>
    <t>http://www.biobiochile.cl/noticias/nacional/region-de-aysen/2017/10/23/aclaran-asesinato-de-joven-madre-y-posterior-suicido-de-autor-del-crimen-en-coyhaique.shtml</t>
  </si>
  <si>
    <t>http://www.radioestrelladelmar.cl/?p=13768</t>
  </si>
  <si>
    <t>https://laprensaaustral.cl/nacional/asesinato-y-suicidio-de-una-pareja-estremece-a-comunidad-de-coyhaique/</t>
  </si>
  <si>
    <t>http://tvcanal5.cl/policial/</t>
  </si>
  <si>
    <t>http://www.latercera.com/noticia/detienen-acusado-matar-pareja-solo-18-anos/</t>
  </si>
  <si>
    <t>http://www.cooperativa.cl/noticias/pais/policial/carabineros-detuvo-a-hombre-acusado-de-femicidio-en-puente-alto/2017-10-30/033815.html</t>
  </si>
  <si>
    <t>http://www.biobiochile.cl/noticias/nacional/region-metropolitana/2017/10/30/detienen-a-hombre-acusado-de-femicidio-en-puente-alto-fue-denunciado-por-sus-padres.shtml</t>
  </si>
  <si>
    <t>http://www.soychile.cl/Santiago/Sociedad/2017/10/30/495869/SernamEG-condeno-femicidio-en-Puente-Alto-Victimas-como-Muriel-no-son-solo-cifras.aspx</t>
  </si>
  <si>
    <t>http://puentealtoaldia.cl/2017/10/30/brutal-femicidio-protagonizo-sujeto-de-22-anos/</t>
  </si>
  <si>
    <t>http://www.eldesconcierto.cl/2017/08/31/ministra-claudia-pascual-sobre-mujer-de-vina-del-mar-que-alerto-su-femicidio-no-fue-posible-persistir-en-la-terapia/</t>
  </si>
  <si>
    <t>http://www.cooperativa.cl/noticias/pais/policial/mujer-fue-encontrada-muerta-junto-a-su-hija-de-un-ano-en-vina-del-mar/2017-08-28/112209.html#vtxt_cuerpo_T0</t>
  </si>
  <si>
    <t>http://www.cooperativa.cl/noticias/pais/policial/sml-golpe-en-el-rostro-provoco-muerte-a-joven-madre-de-vina-del-mar/2017-08-29/224416.html</t>
  </si>
  <si>
    <t>http://www.soychile.cl/Valparaiso/Sociedad/2017/08/29/484361/Mujer-asesinada-en-Vina-habia-interpuesto-tres-denuncias-por-violencia-intrafamiliar.aspx</t>
  </si>
  <si>
    <t>http://www.chvnoticias.cl/policial/autor-de-femicidio-en-san-bernardo-confeso-el-crimen-tras-su-detencion/2017-11-11/162104.html</t>
  </si>
  <si>
    <t>http://www.soychile.cl/Santiago/Policial/2017/11/11/498361/Amiga-de-la-victima-de-femicidio-en-San-Bernardo-conto-episodios-de-violencia-de-su-pareja-Aparecio-con-el-ojo-morado.aspx</t>
  </si>
  <si>
    <t>http://www.minmujeryeg.cl/prensa/noticias-prensa/noticias-destacadas/repudiamos-este-nuevo-caso-violencia-extrema-una-mujer-ya-estamos-trabajando-ofrecer-todos-los-apoyos-familia-se-haga-justicia/</t>
  </si>
  <si>
    <t>http+Z3:AF10://www.latercera.com/noticia/mujer-venezolana-la-quinta-extranjera-victima-femicidio/</t>
  </si>
  <si>
    <t>http://www.latercera.com/noticia/detienen-hombre-sospechoso-apunalar-pareja/</t>
  </si>
  <si>
    <t>http://www.biobiochile.cl/noticias/nacional/region-metropolitana/2017/11/05/hombre-fue-Detenido-por-matar-a-su-pareja-en-santiago-es-el-femicidio-35-durante-2017.shtml</t>
  </si>
  <si>
    <t>http://www.adnradio.cl/noticias/nacional/nuevo-femicidio-en-chile-hombre-mato-a-su-pareja-con-un-arma-blanca/20171105/nota/3628750.aspx</t>
  </si>
  <si>
    <t>http://www.panorama.com.ve/sucesos/Asesinaron-a-venezolana-en-un-apartamento-en-Santiago-de-Chile-20171105-0041.html</t>
  </si>
  <si>
    <t>http://segundoenfoque.com/venezolana-se-convirtio-la-quinta-victima-extranjera-feminicidio-chile-2017-11-06</t>
  </si>
  <si>
    <t>http://www.ntn24.com/noticia/mujer-venezolana-muere-asesinada-de-13-punaladas-por-su-pareja-en-chile-157175</t>
  </si>
  <si>
    <t>http://www.biobiochile.cl/noticias/nacional/region-de-los-rios/2017/11/21/formalizan-a-hombre-acusado-de-femicidio-en-valdivia-arriesga-hasta-15-anos-de-carcel.shtml</t>
  </si>
  <si>
    <t>http://www.biobiochile.cl/noticias/nacional/region-de-los-rios/2017/11/19/femicidio-en-los-rios-hombre-corto-3-veces-el-cuello-de-su-pareja-en-sector-los-dorsales.shtml</t>
  </si>
  <si>
    <t>http://www.biobiochile.cl/noticias/nacional/region-de-los-rios/2017/11/20/amplian-detencion-de-hombre-acusado-de-asesinar-a-su-expareja-en-valdivia.shtml</t>
  </si>
  <si>
    <t>http://www.biobiochile.cl/noticias/nacional/region-metropolitana/2017/11/29/registran-nuevo-femicidio-en-lo-espejo-hombre-mato-a-mujer-de-un-disparo-en-el-pecho.shtml</t>
  </si>
  <si>
    <t>http://www.chvnoticias.cl/policial/sujeto-asesino-a-su-pareja-en-plena-via-publica-en-lo-espejo/2017-11-30/065314.html</t>
  </si>
  <si>
    <t>http://m.cooperativa.cl/noticias/pais/policial/femicidio/lo-espejo-hombre-mato-de-un-balazo-a-su-pareja-en-plena-calle/2017-11-29/223224.html</t>
  </si>
  <si>
    <t>http://www.cooperativa.cl/noticias/pais/policial/femicidio/lo-espejo-hombre-mato-de-un-balazo-a-su-pareja-en-plena-calle/2017-11-29/223224.html</t>
  </si>
  <si>
    <t>http://www.biobiochile.cl/noticias/nacional/region-de-los-rios/2017/12/08/pdi-indaga-paradero-de-hombre-acusado-de-homicidio-y-femicidio-en-los-rios.shtml</t>
  </si>
  <si>
    <t>http://www.biobiochile.cl/noticias/nacional/region-de-los-rios/2017/12/08/carabineros-busca-a-persona-acusada-de-asesinar-a-hombre-en-los-rios.shtml</t>
  </si>
  <si>
    <t>http://tvcanal5.cl/liquine-sujeto-asesino-a-su-ex-pareja-y-al-conviviente-de-la-mujer-y-luego-escapo-hacia-la-frontera/</t>
  </si>
  <si>
    <t>http://www.emol.com/noticias/Nacional/2017/12/09/886636/Hombre-se-dio-a-la-fuga-tras-asesinar-a-su-ex-pareja-y-a-conviviente-en-Los-Rios.html</t>
  </si>
  <si>
    <t>http://www.voceroregional.cl/2017/12/09/ministra-pascual-condeno-femicidio-ocurrido-en-panguipulli/</t>
  </si>
  <si>
    <t>https://rioenlinea.cl/2017/12/09/liquine-buscan-a-individuo-que-mato-a-su-ex-pareja-y-al-hombre-que-mantendria-una-relacion-con-ella/</t>
  </si>
  <si>
    <t>http://www.cooperativa.cl/noticias/pais/policial/femicidio/el-primer-caso-de-femicidio-de-2016/2016-01-02/122326.html</t>
  </si>
  <si>
    <t>http://www.soychile.cl/Santiago/Policial/2016/01/02/367535/Crimen-de-mujer-de-37-anos-se-convierte-en-el-primer-femicidio-de-2016.aspx</t>
  </si>
  <si>
    <t>http://www.theclinic.cl/2016/01/02/crimen-de-mujer-de-37-anos-se-convierte-primer-femicidio-de-2016/</t>
  </si>
  <si>
    <t>http://www.cronicaviva.com.pe/tag/claudia-gonzalez-ovalle/</t>
  </si>
  <si>
    <t>http://www.24horas.cl/nacional/mujer-atacada-por-su-pareja-fallece-en-hospital-san-jose-1887782</t>
  </si>
  <si>
    <t>http://www.chvnoticias.cl/policial/hombre-asesino-a-su-pareja-por-celos-en-independencia/2016-01-02/135925.html</t>
  </si>
  <si>
    <t>http://www.emol.com/noticias/Nacional/2016/01/02/766464/PDI-investiga-nuevo-femicidio-en-la-comuna-de-Recoleta.html</t>
  </si>
  <si>
    <t>http://femicidioschile.blogspot.com/2016/03/femicidio-n-2.html</t>
  </si>
  <si>
    <t>https://www.facebook.com/permalink.php?story_fbid=10153574810408192&amp;id=140943048191</t>
  </si>
  <si>
    <t>https://www.araucaniacuenta.cl/tag/magdalena-del-rosario-carrillo-levipan/</t>
  </si>
  <si>
    <t>http://www.elciudadano.cl/justicia/femicidio-condenan-a-20-anos-de-presidio-efectivo-a-hombre-que-mato-a-su-conviviente/04/07/</t>
  </si>
  <si>
    <t>http://www.theclinic.cl/2016/03/06/sexto-femicidio-del-ano-hombre-asesino-a-su-esposa-a-golpes-y-luego-se-suicido-en-maipu/</t>
  </si>
  <si>
    <t>http://portal.sernam.cl/img/upoloads/FEMICIDIOS%202016%20al%2010%20de%20enero.pdf</t>
  </si>
  <si>
    <t>http://www.biobiochile.cl/noticias/nacional/region-de-la-araucania/2017/03/31/hombre-es-condenado-por-matar-a-su-pareja-con-un-cuchillo-en-la-localidad-de-queule.shtml</t>
  </si>
  <si>
    <t>http://www.abc.com.py/internacionales/hombre-mata-a-su-mujer-con-bate-de-beisbol-en-chile-1459352.html</t>
  </si>
  <si>
    <t>http://www.eldinamo.cl/nacional/2016/02/25/femicidio-lago-ranco-valdivia/</t>
  </si>
  <si>
    <t>http://www.mqltv.com/eldiariodecopano-nabila-rifo-y-femicidios-en-chile/</t>
  </si>
  <si>
    <t>http://www.quieroelegir.cl/la-cruda-historia-del-ultimo-femicidio-en-chile/</t>
  </si>
  <si>
    <t>https://desdelatorre5.wordpress.com/2016/03/11/mujeres-en-chile-el-amor-las-asesina-y-el-orden-las-golpea/</t>
  </si>
  <si>
    <t>https://portal.sernam.cl/img/upoloads/FEMICIDIOS%202016%20al%207_02(1).pdf</t>
  </si>
  <si>
    <t>https://prensa.presidencia.cl/lfi-content/uploads/2016/03/mar082016brm-ceremonia-dia-de-la-mujer-final.pdf</t>
  </si>
  <si>
    <t>http://www.biobiochile.cl/noticias/2016/02/28/ppd-despide-en-lago-ranco-a-militantes-involucrados-en-presunto-femicidio.shtml</t>
  </si>
  <si>
    <t>https://www.debate.com.mx/mundo/Hombre-mata-a-su-mujer-con-bate-de-beisbol-20160306-0037.html</t>
  </si>
  <si>
    <t>http://www.soychile.cl/Antofagasta/Policial/2016/03/03/378759/Una-mujer-de-31-anos-es-la-victima-del-primer-femicidio-de-2016-en-Antofagasta.aspx</t>
  </si>
  <si>
    <t>http://www.elciudadano.cl/chile/karen-andrea-wilson-villagran-cuarto-femicidio-del-ano-2016-se-viene-negro/03/03/</t>
  </si>
  <si>
    <t>http://www.diarioantofagasta.cl/regional/antofagasta/61706/asesino-de-profesora-antofagastina-quedo-en-prision-preventiva/</t>
  </si>
  <si>
    <t>https://www.laizquierdadiario.cl/Brutal-femicidio-de-profesora-en-Antofagasta</t>
  </si>
  <si>
    <t>http://www.chvnoticias.cl/policial/mato-a-su-esposa-y-paseo-su-cuerpo-en-el-asiento-de-copiloto/2016-03-03/212315.html</t>
  </si>
  <si>
    <t>http://www.24horas.cl/nacional/mujer-de-antofagasta-es-la-cuarta-victima-de-femicidio-en-el-ano-1949649</t>
  </si>
  <si>
    <t>https://m.facebook.com/groups/957720797599017/?ref=group_header&amp;view=group</t>
  </si>
  <si>
    <t>http://www.eltiempo.com/archivo/documento/CMS-16532087</t>
  </si>
  <si>
    <t>http://www.biobiochile.cl/noticias/2016/03/09/la-historia-del-descuartizamiento-de-joven-colombiana-y-como-la-pdi-descubrio-al-culpable.shtml</t>
  </si>
  <si>
    <t>http://www.biobiochile.cl/noticias/nacional/region-metropolitana/2017/07/19/declaran-culpable-a-hombre-que-mato-y-descuartizo-a-su-pareja-colombiana-en-santiago.shtml</t>
  </si>
  <si>
    <t>http://www.semana.com/nacion/articulo/joven-colombiana-fue-descuartizada-en-chile/464651</t>
  </si>
  <si>
    <t>http://www.elpais.com.co/judicial/14-anos-de-carcel-para-joven-que-asesino-a-vallecaucana-en-santiago-de-chile.html</t>
  </si>
  <si>
    <t>http://www.elpais.com.co/judicial/declaran-culpable-a-colombiano-que-asesino-y-descuartizo-a-su-novia-en-chile.html</t>
  </si>
  <si>
    <t>http://www.24horas.cl/nacional/la-historia-de-la-joven-descuartizada-y-arrojada-al-mapocho-1956057</t>
  </si>
  <si>
    <t>http://www.24horas.cl/nacional/mujer-de-maipu-es-la-quinta-victima-de-femicidio-del-2016-1952357</t>
  </si>
  <si>
    <t>http://www.emol.com/noticias/Nacional/2016/03/06/791594/El-quinto-femicidio-del-ano-Mato-a-su-pareja-y-luego-se-quito-la-vida.html</t>
  </si>
  <si>
    <t>http://www.chvnoticias.cl/ultima-mirada/femicidio-y-suicidio-quedo-descubierto-en-maipu/2016-03-06/010443.html</t>
  </si>
  <si>
    <t>http://www.cooperativa.cl/noticias/pais/policial/femicidio/hombre-asesino-a-su-pareja-con-un-bate-de-beisbol-en-maipu/2016-03-05/223257.html</t>
  </si>
  <si>
    <t>https://www.diariolasamericas.com/america-latina/hombre-mata-su-mujer-bate-beisbol-6-feminicidio-2016-chile-n3669378</t>
  </si>
  <si>
    <t>https://www.elnuevodia.com/noticias/mundo/nota/hombremataasuparejaabatazosenchile-2170719/</t>
  </si>
  <si>
    <t>http://rpp.pe/mundo/chile/chile-hombre-mata-a-su-pareja-con-un-bate-de-beisbol-noticia-943739</t>
  </si>
  <si>
    <t>http://www.minmujeryeg.cl/prensa/noticias-prensa/noticias-regionales/imputado-femicidio-magaly-carriel-volvera-prision-tras-apelacion-suspension-procedimiento/</t>
  </si>
  <si>
    <t>http://www.elciudadano.cl/chile/imputado-por-femicidio-de-magaly-carriel-volvera-a-prision-tras-apelacion-a-suspension-de-procedimiento/10/13/</t>
  </si>
  <si>
    <t>http://www.elciudadano.cl/chile/sernameg-y-familiares-presentaron-apelacion-a-dictamen-que-mantiene-a-imputado-por-femicidio-en-libertad2016/10/11/</t>
  </si>
  <si>
    <t>https://www.diarioconcepcion.cl/ciudad/2016/10/13/corte-ordena-prision-preventiva-para-imputado-de-primer-femicidio-del-ano.html</t>
  </si>
  <si>
    <t>http://www.cooperativa.cl/noticias/pais/policial/femicidio/en-talcahuano-ocurrio-el-septimo-femicidio-del-ano/2016-03-07/201131.html</t>
  </si>
  <si>
    <t>http://www.eldinamo.cl/nacional/2016/03/08/femicidio-chile-septimo-femicidio/</t>
  </si>
  <si>
    <t>https://www.publimetro.cl/cl/nacional/2016/03/08/victima-postrada-detienen-hombre-que-mato-pareja-talcahuano.html</t>
  </si>
  <si>
    <t>http://www.24horas.cl/nacional/mujer-muere-apunalada-en-el-cuello-por-su-conviviente-en-paredones-1954890</t>
  </si>
  <si>
    <t>http://www.emol.com/noticias/Nacional/2016/03/08/792030/Dos-femicidios-mancharon-la-celebracion-del-Dia-Internacional-de-la-Mujer-en-el-pais.html</t>
  </si>
  <si>
    <t>http://www.chvnoticias.cl/nacional/mujer-asesinada-por-pareja-lo-habia-denunciado-en-la-manana/2016-03-09/140111.html</t>
  </si>
  <si>
    <t>http://www.biobiochile.cl/noticias/2016/03/12/en-prision-preventiva-queda-presunto-autor-de-femicidio-en-paredones.shtml</t>
  </si>
  <si>
    <t>http://eltipografo.cl/2016/03/mujer-de-paredones-se-convirtio-esta-tarde-en-la-octava-victima-de-femicidio-en-el-ano-en-el-pais/</t>
  </si>
  <si>
    <t>http://eltipografo.cl/2016/03/decretan-prision-preventiva-para-imputado-por-femicidio-en-paredones/</t>
  </si>
  <si>
    <t>http://www.cooperativa.cl/noticias/pais/policial/femicidio/dos-nuevos-femicidios-enlutan-la-celebracion-del-dia-de-la-mujer/2016-03-08/213535.html</t>
  </si>
  <si>
    <t>http://tiempo21araucania.cl/femicidio-y-posterior-suicidio-en-consultorio-remece-a-renaico/</t>
  </si>
  <si>
    <t>http://www.collipullense.cl/?p=3481</t>
  </si>
  <si>
    <t>https://www.youtube.com/watch?v=q9YO_asKkqw</t>
  </si>
  <si>
    <t>https://maray.cl/?p=35046</t>
  </si>
  <si>
    <t>http://www.lanueva.com/nota/2016-3-9-8-39-0-chile-2-hombres-mataron-a-sus-parejas-en-el-dia-de-la-mujer</t>
  </si>
  <si>
    <t>http://www.biobiochile.cl/noticias/2016/03/09/sename-ayudara-a-nino-que-presencio-femicidio-en-renaico.shtml</t>
  </si>
  <si>
    <t>http://www.elandino.cl/2016/03/10/dramatico-femicidio-y-suicidio-en-predio-agricola-de-rinconada-cuidador-mato-a-su-esposa-y-posteriormente-se-quito-la-vida-con-la-misma-arma-de-fuego-una-escopeta-calibre-12/</t>
  </si>
  <si>
    <t>http://soyaconcagua.cl/2016/03/11/femicidio-en-rinconada-eleva-a-11-el-numero-de-victimas-en-lo-que-va-del-ano-en-el-pais/</t>
  </si>
  <si>
    <t>http://www.observador.cl/6609-femicidio_en_rinconada_de_los_andes_le_dispar_en_la_cara_a_su_mujer_y_se_suicid</t>
  </si>
  <si>
    <t>http://www.cooperativa.cl/noticias/pais/policial/femicidio/prision-preventiva-para-acusado-de-matar-a-su-pareja-a-martillazos-en/2016-03-29/163223.html</t>
  </si>
  <si>
    <t>http://www.24horas.cl/nacional/impacto-por-femicidio-en-quillon-matan-a-mujer-a-martillazos-1970535</t>
  </si>
  <si>
    <t>http://www.soychile.cl/Chillan/Policial/2017/06/02/467735/Declaran-culpable-a-imputado-por-femicidio-de-vendedora-ambulante-en-Quillon.aspx</t>
  </si>
  <si>
    <t>http://www.biobiochile.cl/noticias/nacional/region-del-bio-bio/2017/06/07/condenan-a-15-anos-de-carcel-a-hombre-que-asesino-a-su-pareja-con-martillo-en-quillon.shtml</t>
  </si>
  <si>
    <t>http://www.biobiochile.cl/noticias/2016/03/26/nuevo-femicidio-en-quillon-hombre-mato-a-su-pareja-con-un-martillo.shtml</t>
  </si>
  <si>
    <t>http://www.ladiscusion.cl/detalle/1124/Violento-femicidio-descubierto-anoche-conmociona-a-Quillón#sthash.2Aqzl2y1.dpbs</t>
  </si>
  <si>
    <t>http://www.ladiscusion.cl/detalle/1128/Aplazan-formalización-del-autor-confeso-de-femicidio-en-Quillón#sthash.h9Ifd8aB.dpbs</t>
  </si>
  <si>
    <t>http://www.emol.com/noticias/Nacional/2016/05/08/801727/Mujer-es-asesinada-por-su-pareja-y-se-convierte-en-13-victima-de-femicidio.html</t>
  </si>
  <si>
    <t>http://www.adnradio.cl/noticias/nacional/nuevo-femicidio-hombre-apunalo-a-su-pareja-en-la-granja/20160508/nota/3127111.aspx</t>
  </si>
  <si>
    <t>http://www.ahoranoticias.cl/noticias/nacional/172027-nuevo-feminicidio-hombre-apunalo-a-su-mujer-en-la-granja.html</t>
  </si>
  <si>
    <t>http://www.chvnoticias.cl/policial/nuevo-femicidio-pareja-asesino-a-mujer-en-la-granja/2016-05-08/153502.html</t>
  </si>
  <si>
    <t>http://www.soychile.cl/Santiago/Policial/2016/05/13/393152/PDI-detiene-a-presunto-autor-de-femicidio-en-Pudahuel.aspx</t>
  </si>
  <si>
    <t>http://www.24horas.cl/nacional/encuentran-cuerpo-de-victima-de-femicidio-oculto-en-el-local-donde-trabajaba-2014973</t>
  </si>
  <si>
    <t>http://www.adnradio.cl/noticias/nacional/femicidio-en-pudahuel-hombre-confeso-haber-asesinado-a-su-pareja-de-54-anos/20160513/nota/3132164.aspx</t>
  </si>
  <si>
    <t>http://www.emol.com/noticias/Nacional/2016/05/13/802622/Investigan-el-asesinato-de-una-mujer-en-un-local-en-Pudahuel.html</t>
  </si>
  <si>
    <t>http://www.tropezon.cl/2016/05/13/femicidio-encuentran-mujer-muerta-en-pudahuel-rural/</t>
  </si>
  <si>
    <t>https://www.facebook.com/permalink.php?story_fbid=142863802797302&amp;id=142772599473089</t>
  </si>
  <si>
    <t>http://www.24horas.cl/nacional/femicidio-en-paine-hombre-dispara-con-una-escopeta-contra-su-pareja-2027212</t>
  </si>
  <si>
    <t>http://www.biobiochile.cl/noticias/2016/05/26/nuevo-femicidio-hombre-asesino-a-su-mujer-con-una-escopeta-y-se-quito-la-vida-en-paine.shtml</t>
  </si>
  <si>
    <t>http://www.chvnoticias.cl/policial/femicidio-y-posterior-suicidio-se-registro-en-paine/2016-05-27/015514.html</t>
  </si>
  <si>
    <t>http://lanoticiaonline.cl/victima-de-femicidio-en-paine-era-de-rancagua/</t>
  </si>
  <si>
    <t>http://www.pressreader.com/chile/la-tercera/20160528/281878707621221</t>
  </si>
  <si>
    <t>http://www.emol.com/noticias/Nacional/2016/05/30/805267/PDI-revela-que-joven-mujer-fue-asesinada-en-medio-de-una-discusion-por-celos.html</t>
  </si>
  <si>
    <t>http://www.t13.cl/noticia/politica/gobierno-incluye-pareja-lesbiana-casos-femicidio</t>
  </si>
  <si>
    <t>http://www.eldinamo.cl/blog/ser-lesbiana-y-victima-de-femicidio-en-chile-una-deuda-pendiente/</t>
  </si>
  <si>
    <t>https://www.publimetro.cl/cl/nacional/2016/05/30/femicidio-formalizan-mujer-que-mato-polola-quedo-prision-preventiva.html</t>
  </si>
  <si>
    <t>http://www.lacuarta.com/noticia/ministerio-de-la-mujer-incluye-como-femicidio-crimen-entre-pareja-lesbiana/</t>
  </si>
  <si>
    <t>http://www.biobiochile.cl/noticias/nacional/region-metropolitana/2017/07/12/imputada-por-asesinar-a-su-polola-en-santiago-realizo-reconstitucion-de-escena-en-libertad.shtml</t>
  </si>
  <si>
    <t>https://laprensaaustral.cl/titular1/murio-joven-madre-brutalmente-agredida-en-la-via-publica/</t>
  </si>
  <si>
    <t>http://www.biobiochile.cl/noticias/nacional/policial/2016/06/06/buscan-a-autor-de-brutal-muerte-de-joven-madre-en-punta-arenas.shtml</t>
  </si>
  <si>
    <t>http://elpinguino.com/noticia/2016/06/04/joven-madre-que-fue-brutalmente-golpeada-dejo-de-existir-en-hora-de-esta-tarde</t>
  </si>
  <si>
    <t>http://www.elpinguino.com/noticia/2016/06/01/joven-madre-fue-golpeada-brutalmente--y-se-debate-entre-la-vida-y-la-muerte</t>
  </si>
  <si>
    <t>https://www.pagina12.com.ar/diario/suplementos/soy/1-4773-2016-09-30.html</t>
  </si>
  <si>
    <t>http://www.eldinamo.cl/nacional/2017/04/04/la-historia-de-nicole-y-el-silencio-que-rodea-su-brutal-asesinato/</t>
  </si>
  <si>
    <t>http://www.elmostrador.cl/braga/2017/07/05/quien-era-nicole-saavedra-familia-y-organizaciones-lesbicas-denuncian-un-ano-de-impunidad-de-su-brutal-crimen/</t>
  </si>
  <si>
    <t>https://www.elciudadano.cl/organizacion-social/nuevo-asesinato-de-joven-lesbiana-pone-en-alerta-a-las-agrupaciones-feministas/03/24/</t>
  </si>
  <si>
    <t>http://www.soychile.cl/Calama/Policial/2016/07/27/408238/Parricidio-en-Calama-Hombre-asesino-a-su-esposa-e-hija.aspx</t>
  </si>
  <si>
    <t>http://larepublica.pe/sociedad/959767-asesina-a-su-esposa-y-a-su-hija-cuando-dormian-y-luego-intenta-suicidarse</t>
  </si>
  <si>
    <t>http://radiouno.pe/noticias/56710/categorias.php</t>
  </si>
  <si>
    <t>http://www.biobiochile.cl/noticias/nacional/region-de-antofagasta/2016/08/26/justicia-formaliza-a-acusado-de-matar-a-su-pareja-e-hija-de-tres-anos-en-calama.shtml</t>
  </si>
  <si>
    <t>http://www.americatv.com.pe/noticias/internacionales/chile-joven-peruana-y-su-hija-fueron-asesinadas-punaladas-n240817</t>
  </si>
  <si>
    <t>https://www.eldeber.com.bo/mundo/Estrangulo-a-su-pareja-en-Chile-e-intento-suicidarse-20160811-84449.html</t>
  </si>
  <si>
    <t>http://www.mendozapost.com/nota/79532-murio-una-turista-en-un-accidente-vial-en-alvear/</t>
  </si>
  <si>
    <t>https://www.diariouno.com.ar/policiales/crimen-una-mendocina-chile-la-mataron-un-panuelo-20160814-n1208443.html</t>
  </si>
  <si>
    <t>http://losandes.com.ar/article/hallaron-estrangulada-a-una-mendocina-en-su-casa-de-chile</t>
  </si>
  <si>
    <t>http://www.paraguay.com/internacionales/argentina-de-30-anos-muere-estrangulada-por-su-pareja-en-chile-149043</t>
  </si>
  <si>
    <t>http://www.sitioandino.com.ar/n/207751/</t>
  </si>
  <si>
    <t>https://www.infobae.com/sociedad/2016/08/13/mataron-a-una-argentina-en-chile-e-imputaron-a-su-esposo/</t>
  </si>
  <si>
    <t>http://www.biobiochile.cl/noticias/nacional/chile/2016/08/20/mujer-muere-baleada-por-pareja-en-padre-hurtado-hombre-dice-que-la-confundio-con-ladron.shtml</t>
  </si>
  <si>
    <t>http://www.chvnoticias.cl/policial/hombre-de-71-anos-afirma-que-mato-a-su-pareja-por-error/2016-08-20/141051.html</t>
  </si>
  <si>
    <t>http://latendencia.cl/2016/08/20/actualidad/nuevo-femicidio-hombre-de-71-anos-asesino-su-pareja-40-anos-menor/</t>
  </si>
  <si>
    <t>http://emergenciaspuertomontt.cl/joven-fue-encontrada-sin-vida-en-talca-autor-del-femicidio-esta-detenido-y-confeso/</t>
  </si>
  <si>
    <t>http://www.paraguay.com/internacionales/joven-de-18-anos-es-decimonovena-victima-de-feminicidio-en-chile-150223</t>
  </si>
  <si>
    <t>http://www.diarioeldia.cl/pais/joven-18-anos-es-decimonovena-victima-femicidio-en-chile-en-2016</t>
  </si>
  <si>
    <t>http://www.wradio.com.co/noticias/internacional/joven-de-18-anos-es-decimonovena-victima-de-feminicidio-en-chile-en-2016/20160902/nota/3234836.aspx</t>
  </si>
  <si>
    <t>http://www.emol.com/noticias/Nacional/2016/09/04/820398/Mujer-muere-a-manos-de-su-ex-pareja-que-tenia-antecedentes-por-violencia.html</t>
  </si>
  <si>
    <t>http://www.cooperativa.cl/noticias/pais/policial/femicidio/en-prision-preventiva-quedo-sospechoso-del-femicidio-de-su-pareja-en/2016-09-04/141439.html</t>
  </si>
  <si>
    <t>https://www.publimetro.cl/cl/noticias/2017/12/26/la-justicia-llego-cadena-perpetua-autor-femicidio-renca.html</t>
  </si>
  <si>
    <t>https://tn.com.ar/policiales/una-argentina-fue-apunalada-por-su-pareja-en-chile_711850</t>
  </si>
  <si>
    <t>https://www.publimetro.cl/cl/nacional/2016/09/07/caso-femicidio-hualqui-mujer-asesinada-pareja-dia-cumpleanos.html</t>
  </si>
  <si>
    <t>http://www.lanacion.com.ar/1935721-mariela-del-carmen-fernandez-chile-muerte-femicidio</t>
  </si>
  <si>
    <t>https://www.infobae.com/sociedad/2016/09/08/un-chico-con-sindrome-de-asperger-clave-para-develar-el-femicidio-de-una-argentina-en-chile/</t>
  </si>
  <si>
    <t>http://www.cooperativa.cl/noticias/pais/policial/femicidio/femicidio-se-registro-en-la-comuna-de-cerro-navia/2016-09-11/182102.html</t>
  </si>
  <si>
    <t>http://www.biobiochile.cl/noticias/nacional/region-metropolitana/2016/09/11/ministerio-de-la-mujer-condeno-nuevo-femicidio-registrado-el-sabado-en-cerro-navia.shtml</t>
  </si>
  <si>
    <t>http://www.soychile.cl/Valparaiso/Policial/2016/09/21/419176/Detienen-a-presunto-responsable-de-la-muerte-de-una-mujer-en-Villa-Alemana.aspx</t>
  </si>
  <si>
    <t>http://www.biobiochile.cl/noticias/nacional/region-de-valparaiso/2016/09/21/detienen-a-sospechoso-de-crimen-de-mujer-en-villa-alemana.shtml</t>
  </si>
  <si>
    <t>http://www.chvnoticias.cl/policial/investigan-causas-de-homicidio-a-una-mujer-en-villa-alemana/2016-09-19/233214.html</t>
  </si>
  <si>
    <t>https://m.facebook.com/niunamenoschile/posts/2121535071406628</t>
  </si>
  <si>
    <t>http://www.biobiochile.cl/noticias/nacional/chile/2016/10/07/detienen-a-subinspector-de-la-pdi-por-la-muerte-de-su-pareja-en-la-cisterna.shtml</t>
  </si>
  <si>
    <t>http://www.chvnoticias.cl/policial/funcionario-pdi-fue-detenido-por-presunto-femicidio/2016-10-08/212155.html</t>
  </si>
  <si>
    <t>http://www.ahoranoticias.cl/noticias/nacional/181363-detienen-a-subinspector-de-la-pdi-por-la-muerte-de-su-pareja.html</t>
  </si>
  <si>
    <t>http://www.ahoranoticias.cl/noticias/nacional/181459-funcionario-de-la-pdi-detenido-por-la-muerte-de-su-pareja-quedo-en-libertad.html</t>
  </si>
  <si>
    <t>http://www.soychile.cl/Santiago/Policial/2016/10/08/422547/Enigma-policial-funcionario-de-la-PDI-detenido-por-la-muerte-de-su-esposa.aspx</t>
  </si>
  <si>
    <t>http://elurbanorural.cl/el-femicidio-es-la-forma-mas-extrema-de-violencia-contra-las-mujeres-y-toda-la-ciudadania-debe-comprometerse-en-su-erradicacion/</t>
  </si>
  <si>
    <t>http://www.ahoranoticias.cl/noticias/nacional/181402-nuevo-femicidio-en-colina-carabineros-detiene-al-presunto-autor-del-crimen.html</t>
  </si>
  <si>
    <t>http://www.emol.com/noticias/Nacional/2016/10/09/825715/Detienen-a-hombre-acusado-de-matar-a-su-ex-pareja-tras-discusion-por-la-tarjeta-del-banco.html</t>
  </si>
  <si>
    <t>http://www.t13.cl/noticia/nacional/colina-hombre-asesina-su-pareja-porque-no-quiso-entregarle-su-tarjeta-credito</t>
  </si>
  <si>
    <t>https://www.pressreader.com/chile/la-cuarta/20161010/281706909193143</t>
  </si>
  <si>
    <t>http://www.cooperativa.cl/noticias/pais/policial/femicidio/nuevo-femicidio-hombre-mato-a-su-ex-pareja-en-colina/2016-10-09/124724.html</t>
  </si>
  <si>
    <t>http://www.elrepuertero.cl/noticia/sociedad/murio-la-mujer-apunalada-por-su-pareja-en-notaria-de-puerto-montt-deja-4-hijos</t>
  </si>
  <si>
    <t>http://www.emol.com/noticias/Nacional/2016/10/13/826268/Murio-joven-colombiana-apunalada-por-su-pareja-en-una-notaria-de-Puerto-Montt.html</t>
  </si>
  <si>
    <t>https://www.laopinion.com.co/mundo/colombiana-fue-asesinada-por-su-esposo-en-una-notaria-de-chile-120784#OP</t>
  </si>
  <si>
    <t>https://www.elheraldo.co/mundo/colombiana-fue-asesinada-de-5-punaladas-por-su-esposo-en-chile-293778</t>
  </si>
  <si>
    <t>http://www.soychile.cl/Puerto-Montt/Policial/2016/10/13/423397/Murio-la-joven-colombiana-que-fue-apunalada-en-una-notaria-de-Puerto-Montt.aspx</t>
  </si>
  <si>
    <t>https://www.facebook.com/PoderJudicialdeChile/photos/a.223728407723265.48016.223518014410971/1110790695683694/?type=3&amp;theater</t>
  </si>
  <si>
    <t>http://www.minmujeryeg.cl/sernam-regional/region_lagos/sermaneg-logra-cadena-perpetua-autor-femicidio-ocurrido-2016/</t>
  </si>
  <si>
    <t>http://www.soychile.cl/Puerto-Montt/Policial/2016/10/17/424104/Otro-femicidio-en-Puerto-Montt-hombre-apunalo-a-su-esposa-delante-de-sus-hijas.aspx</t>
  </si>
  <si>
    <t>http://www.cooperativa.cl/noticias/pais/policial/femicidio/segundo-femicidio-en-menos-de-una-semana-enluta-a-puerto-montt/2016-10-18/003322.html</t>
  </si>
  <si>
    <t>http://www.emol.com/noticias/Nacional/2016/10/17/826864/Nuevo-femicicio-en-Puerto-Montt-Mujer-murio-tras-ser-atacada-presuntamente-por-su-pareja.html</t>
  </si>
  <si>
    <t>http://www.latribuna.cl/noticia.php?id=MTI4NzM=</t>
  </si>
  <si>
    <t>http://www.biobiochile.cl/noticias/nacional/region-del-bio-bio/2016/10/21/detienen-a-un-hombre-acusado-de-asesinar-a-mujer-desaparecida-en-laja.shtml</t>
  </si>
  <si>
    <t>http://www.lacuarta.com/noticia/investiga-femicidio-claudia-cruzat/</t>
  </si>
  <si>
    <t>http://www.chvnoticias.cl/policial/sujeto-confeso-haber-matado-a-mujer-que-era-buscada/2016-10-21/141955.html</t>
  </si>
  <si>
    <t>https://resumen.cl/articulos/investigan-posible-femicidio-claudia-cruzat-laja</t>
  </si>
  <si>
    <t>http://www.ladiscusion.cl/detalle/7431/Víctima-de-presunto-femicidio-en-Santiago-será-sepultada-en-Quillón-#sthash.MMRiA7Yo.dpbs</t>
  </si>
  <si>
    <t>http://www.biobiochile.cl/noticias/nacional/region-metropolitana/2016/10/25/investigan-presunto-femicidio-en-santiago-tras-encontrar-a-mujer-muerta-en-su-departamento.shtml</t>
  </si>
  <si>
    <t>http://www.24horas.cl/nacional/encuentran-cuerpo-sin-vida-de-una-mujer-al-interior-de-su-departamento-en-santiago-centro-2172543</t>
  </si>
  <si>
    <t>http://www.chvnoticias.cl/policial/mujer-fue-asesinada-en-estacion-central/2016-10-24/225057.html</t>
  </si>
  <si>
    <t>http://www.biobiochile.cl/noticias/nacional/region-metropolitana/2016/11/01/encuentran-muerta-a-joven-desaparecida-hace-nueve-dias-en-la-comuna-de-el-monte.shtml</t>
  </si>
  <si>
    <t>http://www.emol.com/noticias/Nacional/2016/11/02/829256/Sospechoso-por-crimen-de-mujer-desparecida-en-El-Paico-pasara-a-control-de-detencion-esta-manana.html</t>
  </si>
  <si>
    <t>http://www.eldesconcierto.cl/2016/11/02/una-mas-encuentran-muerta-a-mujer-de-27-anos-desaparecida-en-el-monte/</t>
  </si>
  <si>
    <t>http://www.biobiochile.cl/noticias/nacional/region-de-valparaiso/2016/11/04/femicidio-en-quillota-joven-embarazada-fue-estrangulada-por-su-pareja.shtml</t>
  </si>
  <si>
    <t>http://www.t13.cl/noticia/nacional/joven-embarazada-es-estrangulada-su-pareja-quillota</t>
  </si>
  <si>
    <t>http://www.emol.com/noticias/Nacional/2016/11/04/829754/Femicidio-numero-29-joven-embarazada-es-estrangulada-por-pareja.html</t>
  </si>
  <si>
    <t>http://www.eldesconcierto.cl/2016/11/05/niunamenos-femicidio-de-johanna-soto-joven-madre-de-24-anos-causa-conmocion-en-quillota/</t>
  </si>
  <si>
    <t>https://www.elciudadano.cl/justicia/chile-hombre-golpeo-a-mujer-hasta-matarla-y-luego-quemo-su-cuerpo/11/09/</t>
  </si>
  <si>
    <t>http://www.biobiochile.cl/noticias/nacional/region-de-la-araucania/2016/11/09/una-mujer-de-44-anos-fue-asesinada-a-golpes-en-lautaro-autor-confeso-quemo-el-cuerpo.shtml</t>
  </si>
  <si>
    <t>http://www.chvnoticias.cl/policial/mujer-de-54-anos-es-la-victima-numero-31-de-femicidio/2016-11-16/141558.html</t>
  </si>
  <si>
    <t>http://www.24horas.cl/nacional/hombre-mato-a-su-esposa-en-coronel-y-dejo-carta-explicando-los-motivos-2194305</t>
  </si>
  <si>
    <t>http://www.cooperativa.cl/noticias/pais/policial/femicidio/nuevo-femicidio-hombre-confeso-haber-asesinado-a-su-esposa-en-coronel/2016-11-15/173927.html</t>
  </si>
  <si>
    <t>https://www.elespectador.com/noticias/elmundo/mujer-de-54-anos-victima-numero-31-de-feminicidio-chile-articulo-665714</t>
  </si>
  <si>
    <t>https://www.elciudadano.cl/chile/profesora-de-55-anos-fue-victima-de-femicidio-en-coronel/11/16/</t>
  </si>
  <si>
    <t>http://www.eldesconcierto.cl/2016/11/22/dos-nuevos-femicidios-en-calama-y-nunoa-elevan-a-50-las-victimas-durante-2016/</t>
  </si>
  <si>
    <t>http://www.soychile.cl/Calama/Policial/2016/11/23/431387/Femicidio-en-Calama-Mariela-Bolvaran-la-segunda-victima-de-violencia-intrafamiliar-de-este-2016.aspx</t>
  </si>
  <si>
    <t>http://www.soychile.cl/Calama/Sociedad/2016/11/24/431526/Mariela-Bolvaran-fue-asesinada-horas-despues-de-titularse-como-maestra-de-cocina.aspx</t>
  </si>
  <si>
    <t>http://www.prodemu.cl/index.php/declaracion-publica-prodemu/</t>
  </si>
  <si>
    <t>http://diarioelnortino.cl/tag/mariela-bolvaran/</t>
  </si>
  <si>
    <t>http://losandes.com.ar/article/dos-argentinas-murieron-en-femicidios-en-un-mes-en-chile</t>
  </si>
  <si>
    <t>http://www.biobiochile.cl/noticias/nacional/region-metropolitana/2016/11/22/nuevo-femicidio-en-nunoa-hombre-de-85-anos-acuchillo-a-su-mujer-de-78.shtml</t>
  </si>
  <si>
    <t>id</t>
  </si>
  <si>
    <t>NombreVictima</t>
  </si>
  <si>
    <t>InicialN</t>
  </si>
  <si>
    <t>ApellidoVictima</t>
  </si>
  <si>
    <t>InicialA</t>
  </si>
  <si>
    <t>OcupacionVictima</t>
  </si>
  <si>
    <t>EdadVictima</t>
  </si>
  <si>
    <t>NacionalidadVictima</t>
  </si>
  <si>
    <t>Iris</t>
  </si>
  <si>
    <t>I</t>
  </si>
  <si>
    <t>Peralta Moraga</t>
  </si>
  <si>
    <t>P</t>
  </si>
  <si>
    <t>ND</t>
  </si>
  <si>
    <t>Chilena</t>
  </si>
  <si>
    <t>Silvia</t>
  </si>
  <si>
    <t>S</t>
  </si>
  <si>
    <t>Ninaja Condori</t>
  </si>
  <si>
    <t>N</t>
  </si>
  <si>
    <t>Boliviana</t>
  </si>
  <si>
    <t>Liliana</t>
  </si>
  <si>
    <t>L</t>
  </si>
  <si>
    <t>Hurtado Echeverry</t>
  </si>
  <si>
    <t>H</t>
  </si>
  <si>
    <t>Colombiana</t>
  </si>
  <si>
    <t>Carmen Mónica</t>
  </si>
  <si>
    <t>C</t>
  </si>
  <si>
    <t>Vásquez Contreras</t>
  </si>
  <si>
    <t>V</t>
  </si>
  <si>
    <t>Maribel del Carmen</t>
  </si>
  <si>
    <t>M</t>
  </si>
  <si>
    <t>Gormáz Ibacache</t>
  </si>
  <si>
    <t>G</t>
  </si>
  <si>
    <t>Yaritza</t>
  </si>
  <si>
    <t>Y</t>
  </si>
  <si>
    <t>Figueroa</t>
  </si>
  <si>
    <t>F</t>
  </si>
  <si>
    <t>Andrea del Pilar</t>
  </si>
  <si>
    <t>A</t>
  </si>
  <si>
    <t>Riquelme Toledo</t>
  </si>
  <si>
    <t>R</t>
  </si>
  <si>
    <t>Giannina</t>
  </si>
  <si>
    <t>Rioseco Bobadilla</t>
  </si>
  <si>
    <t>Amparo</t>
  </si>
  <si>
    <t>Lagos</t>
  </si>
  <si>
    <t>Ruth María</t>
  </si>
  <si>
    <t>Erices Aniñir</t>
  </si>
  <si>
    <t>E</t>
  </si>
  <si>
    <t>Noemí</t>
  </si>
  <si>
    <t>Beroíza Anabalón</t>
  </si>
  <si>
    <t>B</t>
  </si>
  <si>
    <t>Raquel Edelmira</t>
  </si>
  <si>
    <t>Einfalt Fiss</t>
  </si>
  <si>
    <t>Lorena</t>
  </si>
  <si>
    <t>Carrasco Aguilera</t>
  </si>
  <si>
    <t>Paola</t>
  </si>
  <si>
    <t>Villalobos Mancilla</t>
  </si>
  <si>
    <t>Carolina Ignacia</t>
  </si>
  <si>
    <t>Lecarios Lorca</t>
  </si>
  <si>
    <t>Estudiante</t>
  </si>
  <si>
    <t>Gladys Adriana</t>
  </si>
  <si>
    <t>González Osorio</t>
  </si>
  <si>
    <t>María Elena</t>
  </si>
  <si>
    <t>Droguett Aguilar</t>
  </si>
  <si>
    <t>D</t>
  </si>
  <si>
    <t>Daisy Ester</t>
  </si>
  <si>
    <t>Millahual Parra</t>
  </si>
  <si>
    <t>Alicia</t>
  </si>
  <si>
    <t>Cepeda Rojas</t>
  </si>
  <si>
    <t>Magyory Araceli</t>
  </si>
  <si>
    <t>Ponce Barrios</t>
  </si>
  <si>
    <t>Karen Michea</t>
  </si>
  <si>
    <t>K</t>
  </si>
  <si>
    <t>Michea Valdebenito (hijo Jose luis Muñoz Michea)</t>
  </si>
  <si>
    <t>Josefina</t>
  </si>
  <si>
    <t>J</t>
  </si>
  <si>
    <t>Pallilef Huenchumil</t>
  </si>
  <si>
    <t>María Julissa</t>
  </si>
  <si>
    <t>Sánchez</t>
  </si>
  <si>
    <t>Roxana</t>
  </si>
  <si>
    <t>Bravo Inostroza</t>
  </si>
  <si>
    <t>Paulina del Carmen</t>
  </si>
  <si>
    <t>Varela Viedma</t>
  </si>
  <si>
    <t>criminalista</t>
  </si>
  <si>
    <t>Fidelina del Carmen</t>
  </si>
  <si>
    <t>Robledo Villalobos</t>
  </si>
  <si>
    <t>Yanina Francesca</t>
  </si>
  <si>
    <t>Bravo Benavides</t>
  </si>
  <si>
    <t>Jacqueline</t>
  </si>
  <si>
    <t>Soto Fuentes</t>
  </si>
  <si>
    <t>Giselle Solange</t>
  </si>
  <si>
    <t>Olivares Tiznado</t>
  </si>
  <si>
    <t>O</t>
  </si>
  <si>
    <t>Isidora Karen</t>
  </si>
  <si>
    <t>González Rojas</t>
  </si>
  <si>
    <t>Ana Lorena</t>
  </si>
  <si>
    <t>Acosta Esquivel</t>
  </si>
  <si>
    <t>Educadora de Parbulos</t>
  </si>
  <si>
    <t>Mónica Alexandra</t>
  </si>
  <si>
    <t>Huertas Araya</t>
  </si>
  <si>
    <t>Ingeniera Mecanica</t>
  </si>
  <si>
    <t>Carola</t>
  </si>
  <si>
    <t>Ariztía Fuenzalida</t>
  </si>
  <si>
    <t>Daniela Andra</t>
  </si>
  <si>
    <t>Mardones Alvares</t>
  </si>
  <si>
    <t>Muriel</t>
  </si>
  <si>
    <t>Mazuelos Valenzuela</t>
  </si>
  <si>
    <t>Vania</t>
  </si>
  <si>
    <t>Valparaiso</t>
  </si>
  <si>
    <t>Zuñiga Latapiatt</t>
  </si>
  <si>
    <t>Z</t>
  </si>
  <si>
    <t>Carolina</t>
  </si>
  <si>
    <t>Véliz</t>
  </si>
  <si>
    <t>Recolector</t>
  </si>
  <si>
    <t>Susjes</t>
  </si>
  <si>
    <t>de la Chiquinquira Mejias</t>
  </si>
  <si>
    <t>d</t>
  </si>
  <si>
    <t>Venezolana</t>
  </si>
  <si>
    <t>Karen</t>
  </si>
  <si>
    <t>Uribe</t>
  </si>
  <si>
    <t>U</t>
  </si>
  <si>
    <t>Lisette Valentina Paz</t>
  </si>
  <si>
    <t>Ramos Vásquez</t>
  </si>
  <si>
    <t>Yolanda Stela</t>
  </si>
  <si>
    <t>Jaramillo Naihual</t>
  </si>
  <si>
    <t>Claudia</t>
  </si>
  <si>
    <t>González Ovalle</t>
  </si>
  <si>
    <t>Magdalena Del Rosario</t>
  </si>
  <si>
    <t>Carrillo Levipán</t>
  </si>
  <si>
    <t>Elba</t>
  </si>
  <si>
    <t>Escárate</t>
  </si>
  <si>
    <t>Barrientos Oporto</t>
  </si>
  <si>
    <t>Candidata a concejal</t>
  </si>
  <si>
    <t>Karen Andrea</t>
  </si>
  <si>
    <t>Wilson Villagrán</t>
  </si>
  <si>
    <t>W</t>
  </si>
  <si>
    <t>Yuliana Andrea</t>
  </si>
  <si>
    <t>Acevedo</t>
  </si>
  <si>
    <t>Cajera</t>
  </si>
  <si>
    <t>Silvana</t>
  </si>
  <si>
    <t>Sepúlveda</t>
  </si>
  <si>
    <t>Magaly</t>
  </si>
  <si>
    <t>Carriel Garrido</t>
  </si>
  <si>
    <t>Amelia</t>
  </si>
  <si>
    <t>García</t>
  </si>
  <si>
    <t>asesora de hogar</t>
  </si>
  <si>
    <t>Nelly</t>
  </si>
  <si>
    <t>Leyton</t>
  </si>
  <si>
    <t>Nancy</t>
  </si>
  <si>
    <t>Arenas Astudillo</t>
  </si>
  <si>
    <t>Yuri</t>
  </si>
  <si>
    <t>Alvarez</t>
  </si>
  <si>
    <t>Vendedora</t>
  </si>
  <si>
    <t>Adalita Beatriz</t>
  </si>
  <si>
    <t>Ojeda Leiva</t>
  </si>
  <si>
    <t>Beatriz Solange</t>
  </si>
  <si>
    <t>López Álvarez</t>
  </si>
  <si>
    <t>Velia</t>
  </si>
  <si>
    <t>Manríquez Padilla</t>
  </si>
  <si>
    <t>Vanessa</t>
  </si>
  <si>
    <t>Gamboa Gutierrez</t>
  </si>
  <si>
    <t>Mariela</t>
  </si>
  <si>
    <t>García Vera</t>
  </si>
  <si>
    <t>Nicole</t>
  </si>
  <si>
    <t>Saavedra Bahamondes</t>
  </si>
  <si>
    <t>Beini</t>
  </si>
  <si>
    <t>Torres Laura</t>
  </si>
  <si>
    <t>T</t>
  </si>
  <si>
    <t>Peruana</t>
  </si>
  <si>
    <t>Gisela</t>
  </si>
  <si>
    <t>Ferraro</t>
  </si>
  <si>
    <t>Argentina</t>
  </si>
  <si>
    <t>Nadia V</t>
  </si>
  <si>
    <t>Pardo Cabezas</t>
  </si>
  <si>
    <t>Yenery</t>
  </si>
  <si>
    <t>Carrasco González</t>
  </si>
  <si>
    <t>Betzabet</t>
  </si>
  <si>
    <t>Bustos</t>
  </si>
  <si>
    <t>Mariela del Carmen</t>
  </si>
  <si>
    <t>Fernández</t>
  </si>
  <si>
    <t>María</t>
  </si>
  <si>
    <t>Nilo</t>
  </si>
  <si>
    <t>Jara</t>
  </si>
  <si>
    <t>Doris</t>
  </si>
  <si>
    <t>Andaur Hidalgo</t>
  </si>
  <si>
    <t>Cristal</t>
  </si>
  <si>
    <t>Muñoz Ampuero</t>
  </si>
  <si>
    <t>Vanesa</t>
  </si>
  <si>
    <t>Medina Meza</t>
  </si>
  <si>
    <t>Bernardita de Lourdes</t>
  </si>
  <si>
    <t>Martínez Soto</t>
  </si>
  <si>
    <t>Claudia Andrea</t>
  </si>
  <si>
    <t>Cruzat Poblete</t>
  </si>
  <si>
    <t>Patricia Ester</t>
  </si>
  <si>
    <t>Quiroga Letelier</t>
  </si>
  <si>
    <t>Q</t>
  </si>
  <si>
    <t>mesera</t>
  </si>
  <si>
    <t>Núñez Palacios</t>
  </si>
  <si>
    <t>Johana Abigail</t>
  </si>
  <si>
    <t>Soto Alarcón</t>
  </si>
  <si>
    <t>Peña Lizarrán</t>
  </si>
  <si>
    <t>Elizabeth Vilma</t>
  </si>
  <si>
    <t>Uribe Troncoso</t>
  </si>
  <si>
    <t>Profesora</t>
  </si>
  <si>
    <t>Bolvarán</t>
  </si>
  <si>
    <t>Chef</t>
  </si>
  <si>
    <t>María Fernandez</t>
  </si>
  <si>
    <t>Cortés</t>
  </si>
  <si>
    <t>ApellidoP</t>
  </si>
  <si>
    <t>Chinquinquira</t>
  </si>
  <si>
    <t>NombreAutor</t>
  </si>
  <si>
    <t>ApellidoAutor</t>
  </si>
  <si>
    <t>EdadAgresor</t>
  </si>
  <si>
    <t>NacionalidadAgrsor</t>
  </si>
  <si>
    <t>Rasgos patologicos</t>
  </si>
  <si>
    <t>OcupacionAutor</t>
  </si>
  <si>
    <t>Sergio del Carmen</t>
  </si>
  <si>
    <t>Catalán Rivera</t>
  </si>
  <si>
    <t>Cirilo Paco</t>
  </si>
  <si>
    <t>Callata</t>
  </si>
  <si>
    <t>Victor Hugo</t>
  </si>
  <si>
    <t>Velasco</t>
  </si>
  <si>
    <t>Salomón</t>
  </si>
  <si>
    <t>Silva Villar</t>
  </si>
  <si>
    <t>José</t>
  </si>
  <si>
    <t>Valenzuela</t>
  </si>
  <si>
    <t>Ariel</t>
  </si>
  <si>
    <t>Ramirez</t>
  </si>
  <si>
    <t>José Jacob</t>
  </si>
  <si>
    <t>Urra Contreras</t>
  </si>
  <si>
    <t>Segundo</t>
  </si>
  <si>
    <t>Contreras Venegas</t>
  </si>
  <si>
    <t>Raul</t>
  </si>
  <si>
    <t>Mallea</t>
  </si>
  <si>
    <t>José Antonio</t>
  </si>
  <si>
    <t>Paredes Montiel</t>
  </si>
  <si>
    <t>Bernabé Daniel</t>
  </si>
  <si>
    <t>Tapia Gonzales</t>
  </si>
  <si>
    <t>Joaquín Domingo</t>
  </si>
  <si>
    <t>Rengifo Álvarez</t>
  </si>
  <si>
    <t>Jose Manuel</t>
  </si>
  <si>
    <t>Rojas Escobar</t>
  </si>
  <si>
    <t>Michael Hernán</t>
  </si>
  <si>
    <t>Villanueva Aguilar</t>
  </si>
  <si>
    <t>Ariel Fernando</t>
  </si>
  <si>
    <t>Vidal López</t>
  </si>
  <si>
    <t>Manuel Arístides</t>
  </si>
  <si>
    <t>Vergara Cabrera</t>
  </si>
  <si>
    <t>Oscar del Carmen</t>
  </si>
  <si>
    <t>Castro Poblete</t>
  </si>
  <si>
    <t>Cuadro Depresivo</t>
  </si>
  <si>
    <t>César</t>
  </si>
  <si>
    <t>Fernández Toledo</t>
  </si>
  <si>
    <t>Cosme</t>
  </si>
  <si>
    <t>Villalba Ramirez</t>
  </si>
  <si>
    <t>Muñoz Cáceres</t>
  </si>
  <si>
    <t>Mario</t>
  </si>
  <si>
    <t>Domigual Cheuquian</t>
  </si>
  <si>
    <t>Juan</t>
  </si>
  <si>
    <t>Nuracami Mantilla</t>
  </si>
  <si>
    <t>Luis</t>
  </si>
  <si>
    <t>Torres Cañoles</t>
  </si>
  <si>
    <t>Gabriel Ignacio</t>
  </si>
  <si>
    <t>Loza Toro</t>
  </si>
  <si>
    <t>Sergio</t>
  </si>
  <si>
    <t>Torres Villalobos</t>
  </si>
  <si>
    <t>Michaelle Nicolás</t>
  </si>
  <si>
    <t>Lillo Maquian</t>
  </si>
  <si>
    <t>René</t>
  </si>
  <si>
    <t>Pacheco Saavedra</t>
  </si>
  <si>
    <t>Psicopatia</t>
  </si>
  <si>
    <t>Yonathan Javier</t>
  </si>
  <si>
    <t>Serón Serón</t>
  </si>
  <si>
    <t>Guillermo Fabián</t>
  </si>
  <si>
    <t>Atenas Cornejo</t>
  </si>
  <si>
    <t>Amable Eliseo</t>
  </si>
  <si>
    <t>Larrondo Pérez</t>
  </si>
  <si>
    <t>José Miguel</t>
  </si>
  <si>
    <t>Ilabaca</t>
  </si>
  <si>
    <t>Juan Carlos</t>
  </si>
  <si>
    <t>Vergara Díaz</t>
  </si>
  <si>
    <t>Pablo Jonas</t>
  </si>
  <si>
    <t>Jalife Tolosa</t>
  </si>
  <si>
    <t>Cristian</t>
  </si>
  <si>
    <t>Silva Vázques</t>
  </si>
  <si>
    <t>Carlos</t>
  </si>
  <si>
    <t>Valera Rodriguez</t>
  </si>
  <si>
    <t>Emanuel Jesús</t>
  </si>
  <si>
    <t>Pineda Catricheo</t>
  </si>
  <si>
    <t>Luciano Francisco</t>
  </si>
  <si>
    <t>Silva Moralez</t>
  </si>
  <si>
    <t>Ivan Daniel</t>
  </si>
  <si>
    <t>Acuña Gonzales</t>
  </si>
  <si>
    <t>Luis Rolando</t>
  </si>
  <si>
    <t>Rosales Oporto</t>
  </si>
  <si>
    <t>Reyes</t>
  </si>
  <si>
    <t>Carvajal</t>
  </si>
  <si>
    <t>Edwin Mauricio</t>
  </si>
  <si>
    <t>Vásquez Ortiz</t>
  </si>
  <si>
    <t>Mesero</t>
  </si>
  <si>
    <t>Francisco</t>
  </si>
  <si>
    <t>Marchan</t>
  </si>
  <si>
    <t>Delgado</t>
  </si>
  <si>
    <t>Cornejo</t>
  </si>
  <si>
    <t>Jose Rolando</t>
  </si>
  <si>
    <t>Arriagada</t>
  </si>
  <si>
    <t>Fernando</t>
  </si>
  <si>
    <t>Gómez Muñoz</t>
  </si>
  <si>
    <t>Ángelo</t>
  </si>
  <si>
    <t>Iturra</t>
  </si>
  <si>
    <t>Ricardo</t>
  </si>
  <si>
    <t>Andrade Ascencio</t>
  </si>
  <si>
    <t>Oscar</t>
  </si>
  <si>
    <t>Díaz Ortiz</t>
  </si>
  <si>
    <t>Carmona Valdés</t>
  </si>
  <si>
    <t>Camila</t>
  </si>
  <si>
    <t>Campodonico Cortés</t>
  </si>
  <si>
    <t>Eliud Gustavo</t>
  </si>
  <si>
    <t>Martel Claudio</t>
  </si>
  <si>
    <t>Patricio Alejandro</t>
  </si>
  <si>
    <t>Garrido Jara</t>
  </si>
  <si>
    <t>Luis E.</t>
  </si>
  <si>
    <t>Orellana Marchant</t>
  </si>
  <si>
    <t>comerciante</t>
  </si>
  <si>
    <t>Mauricio</t>
  </si>
  <si>
    <t>García Mora</t>
  </si>
  <si>
    <t>Jorge</t>
  </si>
  <si>
    <t>Elgueta Durán</t>
  </si>
  <si>
    <t>Patricio</t>
  </si>
  <si>
    <t>Osorio</t>
  </si>
  <si>
    <t>Bastián</t>
  </si>
  <si>
    <t>Guzmán Retamal</t>
  </si>
  <si>
    <t>funcionario PDI</t>
  </si>
  <si>
    <t>Franco</t>
  </si>
  <si>
    <t>Zamora Hurtado</t>
  </si>
  <si>
    <t>Tobar</t>
  </si>
  <si>
    <t>Patricio Marín</t>
  </si>
  <si>
    <t>Huenchumán</t>
  </si>
  <si>
    <t>Jose Raúl</t>
  </si>
  <si>
    <t>Lillo Carrasco</t>
  </si>
  <si>
    <t>Maestro de construcción</t>
  </si>
  <si>
    <t>pareja es el principal sospechoso</t>
  </si>
  <si>
    <t>Felipe</t>
  </si>
  <si>
    <t>Salas</t>
  </si>
  <si>
    <t>Johnny</t>
  </si>
  <si>
    <t>Jorquera</t>
  </si>
  <si>
    <t>Valdebenito</t>
  </si>
  <si>
    <t>Allan</t>
  </si>
  <si>
    <t>Velásquez Lorca</t>
  </si>
  <si>
    <t>Cruz</t>
  </si>
  <si>
    <t>Muñoz Martín</t>
  </si>
  <si>
    <t>Nombre</t>
  </si>
  <si>
    <t>Id</t>
  </si>
  <si>
    <t>Antecedentes</t>
  </si>
  <si>
    <t xml:space="preserve">tres condenas anteriores por delitos ocurridos en el contexto de violencia intrafamiliar en contra de la misma víctima e incluso una condena anterior por robo.
</t>
  </si>
  <si>
    <t>etención por los delitos de deserción en el año 1981, adulteración en el año 1997 y lesiones menos graves en 2008</t>
  </si>
  <si>
    <t>Lugar</t>
  </si>
  <si>
    <t>Direccion</t>
  </si>
  <si>
    <t>Pais</t>
  </si>
  <si>
    <t>Region</t>
  </si>
  <si>
    <t>Comuna</t>
  </si>
  <si>
    <t>calle Los Aromos #1260</t>
  </si>
  <si>
    <t>Chile</t>
  </si>
  <si>
    <t>Llolleo</t>
  </si>
  <si>
    <t>San Antonio</t>
  </si>
  <si>
    <t>Melipilla, a 70 kilómetros al suroeste de Santiago</t>
  </si>
  <si>
    <t>Metropolitana de Santiago</t>
  </si>
  <si>
    <t>Melipilla</t>
  </si>
  <si>
    <t>Santiago</t>
  </si>
  <si>
    <t>Maule</t>
  </si>
  <si>
    <t>San Javier</t>
  </si>
  <si>
    <t>Av Eloísa Díaz</t>
  </si>
  <si>
    <t>San Bernardo</t>
  </si>
  <si>
    <t>la Pintana</t>
  </si>
  <si>
    <t>Pemuco</t>
  </si>
  <si>
    <t>Bio Bio</t>
  </si>
  <si>
    <t>San Luis</t>
  </si>
  <si>
    <t>Comuna de la Séptima Región</t>
  </si>
  <si>
    <t>Molina</t>
  </si>
  <si>
    <t>Pasaje Tolten</t>
  </si>
  <si>
    <t>Pudahuel</t>
  </si>
  <si>
    <t>Clotario Blest</t>
  </si>
  <si>
    <t>Aysen</t>
  </si>
  <si>
    <t>calle La Caridad</t>
  </si>
  <si>
    <t>Maipo</t>
  </si>
  <si>
    <t>calle Condell 859</t>
  </si>
  <si>
    <t>San Francisco</t>
  </si>
  <si>
    <t>Limache</t>
  </si>
  <si>
    <t>calle Condell con 21 de Mayo</t>
  </si>
  <si>
    <t>Antofagasta</t>
  </si>
  <si>
    <t>Los Lagos</t>
  </si>
  <si>
    <t>Dalcahue</t>
  </si>
  <si>
    <t>O'Higgins</t>
  </si>
  <si>
    <t>Rancagua</t>
  </si>
  <si>
    <t>Dichato</t>
  </si>
  <si>
    <t>Tome</t>
  </si>
  <si>
    <t>Santa Filomena</t>
  </si>
  <si>
    <t>Cercanias de Cañete</t>
  </si>
  <si>
    <t>Cañete</t>
  </si>
  <si>
    <t>Tierras Blancas</t>
  </si>
  <si>
    <t>Coquimbo</t>
  </si>
  <si>
    <t>Paredones</t>
  </si>
  <si>
    <t>Bucalemu</t>
  </si>
  <si>
    <t>San Francisco de Mostazal</t>
  </si>
  <si>
    <t>Sector Rucahue</t>
  </si>
  <si>
    <t>La Araucania</t>
  </si>
  <si>
    <t>Freire</t>
  </si>
  <si>
    <t>Recoleta</t>
  </si>
  <si>
    <t>Padre las casas</t>
  </si>
  <si>
    <t>Temuco</t>
  </si>
  <si>
    <t>Hermanos Grimm nro 3592</t>
  </si>
  <si>
    <t>Las Compañias</t>
  </si>
  <si>
    <t>Centro</t>
  </si>
  <si>
    <t>Hospital y Alejandro Royal</t>
  </si>
  <si>
    <t>Lontue</t>
  </si>
  <si>
    <t>Coyhaique</t>
  </si>
  <si>
    <t>Cochrane</t>
  </si>
  <si>
    <t>Illapel</t>
  </si>
  <si>
    <t>Ñuñoa</t>
  </si>
  <si>
    <t>Chimbarongo</t>
  </si>
  <si>
    <t>Poblacion Brisas del Sur</t>
  </si>
  <si>
    <t>Puente Alto</t>
  </si>
  <si>
    <t>Viña del mar</t>
  </si>
  <si>
    <t>Av Vicuña Mackeña Dep 1012</t>
  </si>
  <si>
    <t>Valdivia</t>
  </si>
  <si>
    <t>Los Rios</t>
  </si>
  <si>
    <t>Pasaje 57</t>
  </si>
  <si>
    <t>Lo Espejo</t>
  </si>
  <si>
    <t>Localidad de Liquiñe</t>
  </si>
  <si>
    <t>Panguipulli</t>
  </si>
  <si>
    <t>Pedro de Valdivia</t>
  </si>
  <si>
    <t>Osorno con Concepción</t>
  </si>
  <si>
    <t>calle Huérfanos en Santiago Centro.</t>
  </si>
  <si>
    <t>Providencia</t>
  </si>
  <si>
    <t>pasaje Quillagua.</t>
  </si>
  <si>
    <t>Maipú</t>
  </si>
  <si>
    <t>cerro Zaror de Talcahuano.</t>
  </si>
  <si>
    <t>Talcahuano</t>
  </si>
  <si>
    <t>Renaico</t>
  </si>
  <si>
    <t>Rinconada</t>
  </si>
  <si>
    <t>calle General Cruz, detrás del municipio comunal.</t>
  </si>
  <si>
    <t>Quillón</t>
  </si>
  <si>
    <t>La granja</t>
  </si>
  <si>
    <t>Cuesta chada</t>
  </si>
  <si>
    <t>Paine</t>
  </si>
  <si>
    <t>calle Banco Encalada, entre Abate Molina y avenida España</t>
  </si>
  <si>
    <t>Magallanes y de la Antártica Chilena</t>
  </si>
  <si>
    <t>Punta arenas</t>
  </si>
  <si>
    <t>Calama</t>
  </si>
  <si>
    <t>Concepción</t>
  </si>
  <si>
    <t>Padre Hurtado</t>
  </si>
  <si>
    <t>260 kilómetros al sur de Santiago</t>
  </si>
  <si>
    <t>Talca</t>
  </si>
  <si>
    <t>Renca</t>
  </si>
  <si>
    <t>Hualqui</t>
  </si>
  <si>
    <t>Cerro Navia</t>
  </si>
  <si>
    <t>Villa Alemana</t>
  </si>
  <si>
    <t>La Cisterna</t>
  </si>
  <si>
    <t>calle Presidente Salvador Allende</t>
  </si>
  <si>
    <t>Colina</t>
  </si>
  <si>
    <t>Puerto Montt</t>
  </si>
  <si>
    <t>Predio forestal al interior del sector Puente Perales</t>
  </si>
  <si>
    <t>Laja</t>
  </si>
  <si>
    <t>Galería Alessandri, en el centro de Santiago.</t>
  </si>
  <si>
    <t>El monte</t>
  </si>
  <si>
    <t>Quilotoa</t>
  </si>
  <si>
    <t>Lautaro</t>
  </si>
  <si>
    <t>Coronel</t>
  </si>
  <si>
    <t>calle Villoslava</t>
  </si>
  <si>
    <t xml:space="preserve">Vivienda </t>
  </si>
  <si>
    <t>IP2017ch1</t>
  </si>
  <si>
    <t>SN2017ch2</t>
  </si>
  <si>
    <t>LH2017ch3</t>
  </si>
  <si>
    <t>CV2017ch4</t>
  </si>
  <si>
    <t>MG2017ch5</t>
  </si>
  <si>
    <t>YF2017ch6</t>
  </si>
  <si>
    <t>AR2017ch7</t>
  </si>
  <si>
    <t>GR2017ch8</t>
  </si>
  <si>
    <t>AL2017ch9</t>
  </si>
  <si>
    <t>RE2017ch10</t>
  </si>
  <si>
    <t>NB2017ch11</t>
  </si>
  <si>
    <t>RE2017ch12</t>
  </si>
  <si>
    <t>LC2017ch13</t>
  </si>
  <si>
    <t>PV2017ch14</t>
  </si>
  <si>
    <t>CL2017ch15</t>
  </si>
  <si>
    <t>GG2017ch16</t>
  </si>
  <si>
    <t>MD2017ch17</t>
  </si>
  <si>
    <t>DM2017ch18</t>
  </si>
  <si>
    <t>AC2017ch19</t>
  </si>
  <si>
    <t>MP2017ch20</t>
  </si>
  <si>
    <t>KM2017ch21</t>
  </si>
  <si>
    <t>JP2017ch22</t>
  </si>
  <si>
    <t>MS2017ch23</t>
  </si>
  <si>
    <t>RB2017ch24</t>
  </si>
  <si>
    <t>PV2017ch25</t>
  </si>
  <si>
    <t>FR2017ch26</t>
  </si>
  <si>
    <t>YB2017ch27</t>
  </si>
  <si>
    <t>JS2017ch28</t>
  </si>
  <si>
    <t>GO2017ch29</t>
  </si>
  <si>
    <t>IG2017ch30</t>
  </si>
  <si>
    <t>AA2017ch31</t>
  </si>
  <si>
    <t>MH2017ch32</t>
  </si>
  <si>
    <t>CA2017ch33</t>
  </si>
  <si>
    <t>DM2017ch34</t>
  </si>
  <si>
    <t>MM2017ch35</t>
  </si>
  <si>
    <t>VZ2017ch36</t>
  </si>
  <si>
    <t>CV2017ch37</t>
  </si>
  <si>
    <t>Sd2017ch38</t>
  </si>
  <si>
    <t>KU2017ch39</t>
  </si>
  <si>
    <t>LR2017ch40</t>
  </si>
  <si>
    <t>YJ2017ch41</t>
  </si>
  <si>
    <t>CG2016ch1</t>
  </si>
  <si>
    <t>MC2016ch2</t>
  </si>
  <si>
    <t>EE2016ch3</t>
  </si>
  <si>
    <t>CB2016ch4</t>
  </si>
  <si>
    <t>KW2016ch5</t>
  </si>
  <si>
    <t>Y 2016ch6</t>
  </si>
  <si>
    <t>SS2016ch7</t>
  </si>
  <si>
    <t>MC2016ch8</t>
  </si>
  <si>
    <t>AG2016ch9</t>
  </si>
  <si>
    <t>NL2016ch10</t>
  </si>
  <si>
    <t>NA2016ch13</t>
  </si>
  <si>
    <t>YA2016ch14</t>
  </si>
  <si>
    <t>AO2016ch18</t>
  </si>
  <si>
    <t>BL2016ch19</t>
  </si>
  <si>
    <t>V 2016ch21</t>
  </si>
  <si>
    <t>VG2016ch22</t>
  </si>
  <si>
    <t>MG2016ch23</t>
  </si>
  <si>
    <t>NS2016ch24</t>
  </si>
  <si>
    <t>BT2016ch25</t>
  </si>
  <si>
    <t>GF2016ch26</t>
  </si>
  <si>
    <t>NP2016ch27</t>
  </si>
  <si>
    <t>YC2016ch28</t>
  </si>
  <si>
    <t>BB2016ch29</t>
  </si>
  <si>
    <t>MF2016ch30</t>
  </si>
  <si>
    <t>M 2016ch31</t>
  </si>
  <si>
    <t>LJ2016ch32</t>
  </si>
  <si>
    <t>DA2016ch33</t>
  </si>
  <si>
    <t>CM2016ch34</t>
  </si>
  <si>
    <t>VM2016ch35</t>
  </si>
  <si>
    <t>BM2016ch36</t>
  </si>
  <si>
    <t>CC2016ch37</t>
  </si>
  <si>
    <t>PQ2016ch38</t>
  </si>
  <si>
    <t>CN2016ch39</t>
  </si>
  <si>
    <t>JS2016ch40</t>
  </si>
  <si>
    <t>NP2016ch41</t>
  </si>
  <si>
    <t>EU2016ch42</t>
  </si>
  <si>
    <t>MB2016ch43</t>
  </si>
  <si>
    <t>MC2016ch44</t>
  </si>
  <si>
    <t>Fecha</t>
  </si>
  <si>
    <t>Tipo</t>
  </si>
  <si>
    <t>Motivo</t>
  </si>
  <si>
    <t>Asfixia</t>
  </si>
  <si>
    <t>Descuartizada</t>
  </si>
  <si>
    <t>Apuñalamiento</t>
  </si>
  <si>
    <t>Disparo</t>
  </si>
  <si>
    <t>Ataque de Ira</t>
  </si>
  <si>
    <t>Rencor</t>
  </si>
  <si>
    <t>Golpe</t>
  </si>
  <si>
    <t>Estrangulamiento</t>
  </si>
  <si>
    <t>Celos</t>
  </si>
  <si>
    <t>Incineracion</t>
  </si>
  <si>
    <t>Infidelidad</t>
  </si>
  <si>
    <t>Ataque de ira</t>
  </si>
  <si>
    <t>Amenazas</t>
  </si>
  <si>
    <t>Alcoholismo</t>
  </si>
  <si>
    <t>Degollacion</t>
  </si>
  <si>
    <t>Maltrato</t>
  </si>
  <si>
    <t>Ruptura, Celos</t>
  </si>
  <si>
    <t>Confusión</t>
  </si>
  <si>
    <t>Discusión</t>
  </si>
  <si>
    <t>Drogas</t>
  </si>
  <si>
    <t>Depresión</t>
  </si>
  <si>
    <t>Ruptura</t>
  </si>
  <si>
    <t>IdFemicidio</t>
  </si>
  <si>
    <t>IdAgresor</t>
  </si>
  <si>
    <t>SCatalán66</t>
  </si>
  <si>
    <t>CCallata38</t>
  </si>
  <si>
    <t>VVelasco0</t>
  </si>
  <si>
    <t>SSilva45</t>
  </si>
  <si>
    <t>JValenzuela25</t>
  </si>
  <si>
    <t>ARamirez28</t>
  </si>
  <si>
    <t>JUrra53</t>
  </si>
  <si>
    <t>SContreras28</t>
  </si>
  <si>
    <t>RMallea39</t>
  </si>
  <si>
    <t>JParedes43</t>
  </si>
  <si>
    <t>BTapia55</t>
  </si>
  <si>
    <t>JRengifo60</t>
  </si>
  <si>
    <t>JRojas32</t>
  </si>
  <si>
    <t>MVillanueva33</t>
  </si>
  <si>
    <t>AVidal29</t>
  </si>
  <si>
    <t>MVergara43</t>
  </si>
  <si>
    <t>OCastro67</t>
  </si>
  <si>
    <t>CFernández34</t>
  </si>
  <si>
    <t>CVillalba64</t>
  </si>
  <si>
    <t>NND32</t>
  </si>
  <si>
    <t>JMuñoz33</t>
  </si>
  <si>
    <t>MDomigual66</t>
  </si>
  <si>
    <t>JNuracami56</t>
  </si>
  <si>
    <t>LTorres0</t>
  </si>
  <si>
    <t>GLoza26</t>
  </si>
  <si>
    <t>STorres52</t>
  </si>
  <si>
    <t>MLillo19</t>
  </si>
  <si>
    <t>RPacheco43</t>
  </si>
  <si>
    <t>YSerón27</t>
  </si>
  <si>
    <t>GAtenas33</t>
  </si>
  <si>
    <t>ALarrondo31</t>
  </si>
  <si>
    <t>JIlabaca26</t>
  </si>
  <si>
    <t>JVergara53</t>
  </si>
  <si>
    <t>PJalife55</t>
  </si>
  <si>
    <t>CSilva22</t>
  </si>
  <si>
    <t>NND0</t>
  </si>
  <si>
    <t>NND39</t>
  </si>
  <si>
    <t>CValera31</t>
  </si>
  <si>
    <t>EPineda35</t>
  </si>
  <si>
    <t>LSilva36</t>
  </si>
  <si>
    <t>IAcuña40</t>
  </si>
  <si>
    <t>LRosales64</t>
  </si>
  <si>
    <t>LReyes51</t>
  </si>
  <si>
    <t>RCarvajal55</t>
  </si>
  <si>
    <t>EVásquez25</t>
  </si>
  <si>
    <t>FMarchan61</t>
  </si>
  <si>
    <t>CDelgado69</t>
  </si>
  <si>
    <t>JCornejo47</t>
  </si>
  <si>
    <t>JArriagada49</t>
  </si>
  <si>
    <t>FGómez0</t>
  </si>
  <si>
    <t>ÁIturra34</t>
  </si>
  <si>
    <t>RAndrade58</t>
  </si>
  <si>
    <t>ODíaz51</t>
  </si>
  <si>
    <t>LCarmona35</t>
  </si>
  <si>
    <t>CCampodonico20</t>
  </si>
  <si>
    <t>EMartel34</t>
  </si>
  <si>
    <t>PGarrido27</t>
  </si>
  <si>
    <t>LOrellana71</t>
  </si>
  <si>
    <t>MGarcía30</t>
  </si>
  <si>
    <t>JReyes33</t>
  </si>
  <si>
    <t>JElgueta35</t>
  </si>
  <si>
    <t>POsorio29</t>
  </si>
  <si>
    <t>BGuzmán26</t>
  </si>
  <si>
    <t>FZamora27</t>
  </si>
  <si>
    <t>JTobar0</t>
  </si>
  <si>
    <t>PHuenchumán47</t>
  </si>
  <si>
    <t>JLillo27</t>
  </si>
  <si>
    <t>pND0</t>
  </si>
  <si>
    <t>FSalas29</t>
  </si>
  <si>
    <t>JJorquera0</t>
  </si>
  <si>
    <t>PValdebenito21</t>
  </si>
  <si>
    <t>AVelásquez55</t>
  </si>
  <si>
    <t>PCruz63</t>
  </si>
  <si>
    <t>JMuñoz85</t>
  </si>
  <si>
    <t>IdVictima</t>
  </si>
  <si>
    <t>IPeralta63</t>
  </si>
  <si>
    <t>SNinajaND</t>
  </si>
  <si>
    <t>LHurtado49</t>
  </si>
  <si>
    <t>CVásquez43</t>
  </si>
  <si>
    <t>MGormáz26</t>
  </si>
  <si>
    <t>YFigueroa20</t>
  </si>
  <si>
    <t>ARiquelme34</t>
  </si>
  <si>
    <t>GRioseco24</t>
  </si>
  <si>
    <t>ALagos32</t>
  </si>
  <si>
    <t>RErices35</t>
  </si>
  <si>
    <t>NBeroíza48</t>
  </si>
  <si>
    <t>REinfalt58</t>
  </si>
  <si>
    <t>LCarrasco30</t>
  </si>
  <si>
    <t>PVillalobos43</t>
  </si>
  <si>
    <t>CLecarios21</t>
  </si>
  <si>
    <t>GGonzález39</t>
  </si>
  <si>
    <t>MDroguett63</t>
  </si>
  <si>
    <t>DMillahual25</t>
  </si>
  <si>
    <t>ACepeda60</t>
  </si>
  <si>
    <t>MPonce20</t>
  </si>
  <si>
    <t>KMichea32</t>
  </si>
  <si>
    <t>JPallilef68</t>
  </si>
  <si>
    <t>MSánchez40</t>
  </si>
  <si>
    <t>RBravo36</t>
  </si>
  <si>
    <t>PVarela30</t>
  </si>
  <si>
    <t>FRobledo43</t>
  </si>
  <si>
    <t>YBravo32</t>
  </si>
  <si>
    <t>JSoto43</t>
  </si>
  <si>
    <t>GOlivares22</t>
  </si>
  <si>
    <t>IGonzález22</t>
  </si>
  <si>
    <t>AAcosta27</t>
  </si>
  <si>
    <t>MHuertas36</t>
  </si>
  <si>
    <t>CAriztía42</t>
  </si>
  <si>
    <t>DMardones29</t>
  </si>
  <si>
    <t>MMazuelos18</t>
  </si>
  <si>
    <t>ValparaisoZuñiga28</t>
  </si>
  <si>
    <t>CVéliz36</t>
  </si>
  <si>
    <t>SChinquinquira26</t>
  </si>
  <si>
    <t>KUribe31</t>
  </si>
  <si>
    <t>LRamos26</t>
  </si>
  <si>
    <t>YJaramillo37</t>
  </si>
  <si>
    <t>CGonzález37</t>
  </si>
  <si>
    <t>MCarrillo43</t>
  </si>
  <si>
    <t>EEscárate90</t>
  </si>
  <si>
    <t>CBarrientos43</t>
  </si>
  <si>
    <t>KWilson31</t>
  </si>
  <si>
    <t>YAcevedo21</t>
  </si>
  <si>
    <t>SSepúlveda41</t>
  </si>
  <si>
    <t>MCarriel63</t>
  </si>
  <si>
    <t>AGarcía40</t>
  </si>
  <si>
    <t>NLeyton45</t>
  </si>
  <si>
    <t>NArenas58</t>
  </si>
  <si>
    <t>YAlvarez28</t>
  </si>
  <si>
    <t>AOjeda44</t>
  </si>
  <si>
    <t>BLópez54</t>
  </si>
  <si>
    <t>VManríquez45</t>
  </si>
  <si>
    <t>VGamboa18</t>
  </si>
  <si>
    <t>MGarcía24</t>
  </si>
  <si>
    <t>NSaavedra23</t>
  </si>
  <si>
    <t>BTorres24</t>
  </si>
  <si>
    <t>GFerraro30</t>
  </si>
  <si>
    <t>NPardo30</t>
  </si>
  <si>
    <t>YCarrasco18</t>
  </si>
  <si>
    <t>BBustos28</t>
  </si>
  <si>
    <t>MFernández34</t>
  </si>
  <si>
    <t>MNilo34</t>
  </si>
  <si>
    <t>LJara45</t>
  </si>
  <si>
    <t>DAndaur24</t>
  </si>
  <si>
    <t>CMuñoz22</t>
  </si>
  <si>
    <t>VMedina23</t>
  </si>
  <si>
    <t>BMartínez45</t>
  </si>
  <si>
    <t>CCruzat46</t>
  </si>
  <si>
    <t>PQuiroga51</t>
  </si>
  <si>
    <t>CNúñez27</t>
  </si>
  <si>
    <t>JSoto24</t>
  </si>
  <si>
    <t>NPeña41</t>
  </si>
  <si>
    <t>EUribe54</t>
  </si>
  <si>
    <t>MBolvarán57</t>
  </si>
  <si>
    <t>MCortés78</t>
  </si>
  <si>
    <t>Url</t>
  </si>
  <si>
    <t>Titulo</t>
  </si>
  <si>
    <t>Raiz</t>
  </si>
  <si>
    <t>Nuevo femidicio estremece a San Antonio</t>
  </si>
  <si>
    <t>elproa</t>
  </si>
  <si>
    <t>elproa.cl</t>
  </si>
  <si>
    <t>en-llolleo-un-hombre-asesino-a-su-mujer-y-luego-se-quito-la-vida</t>
  </si>
  <si>
    <t>cablenoticias</t>
  </si>
  <si>
    <t>cablenoticias.cl</t>
  </si>
  <si>
    <t>Buscan a presunto autor de femicidio de Melipilla</t>
  </si>
  <si>
    <t>latercera</t>
  </si>
  <si>
    <t>latercera.com</t>
  </si>
  <si>
    <t>Boliviana, primera víctima de feminicidio en Chile</t>
  </si>
  <si>
    <t>eldeber</t>
  </si>
  <si>
    <t>eldeber.com.bo</t>
  </si>
  <si>
    <t>Feminicida confiesa en Sucre que mató a su esposa en Chile</t>
  </si>
  <si>
    <t>eju</t>
  </si>
  <si>
    <t>eju.tv</t>
  </si>
  <si>
    <t>PDI busca a pareja e hija de mujer asesinada en Melipilla</t>
  </si>
  <si>
    <t>cooperativa</t>
  </si>
  <si>
    <t>cooperativa.cl</t>
  </si>
  <si>
    <t>Pareja de mujer asesinada en Melipilla confesó el crimen en Bolivia</t>
  </si>
  <si>
    <t>Una boliviana es la primera víctima de feminicidio en Chile en 2017</t>
  </si>
  <si>
    <t>la-razon</t>
  </si>
  <si>
    <t>la-razon.com</t>
  </si>
  <si>
    <t>Feminicida de boliviana en Chile se entrega a la policía</t>
  </si>
  <si>
    <t>noticiasfides</t>
  </si>
  <si>
    <t>noticiasfides.com</t>
  </si>
  <si>
    <t>docs</t>
  </si>
  <si>
    <t>docs.google.com</t>
  </si>
  <si>
    <t>Nuevo caso de feminicidio: colombiana es asesinada por su expareja en Santiago de Chile</t>
  </si>
  <si>
    <t>ntn24</t>
  </si>
  <si>
    <t>ntn24.com</t>
  </si>
  <si>
    <t>Colombiana habría sido asesinada por su expareja, también colombiano, en Chile</t>
  </si>
  <si>
    <t>noticiasrcn</t>
  </si>
  <si>
    <t>noticiasrcn.com</t>
  </si>
  <si>
    <t>No queremos que las mujeres migrantes se sientan desprotegidas necesitamos se atrevan a denunciar cuando estan viviendo violencia</t>
  </si>
  <si>
    <t>minmujeryeg</t>
  </si>
  <si>
    <t>minmujeryeg.cl</t>
  </si>
  <si>
    <t>Femicidio en san bernardo es el septimo perpretrado durante los primeros meses de 2017</t>
  </si>
  <si>
    <t>eldesconcierto</t>
  </si>
  <si>
    <t>eldesconcierto.cl</t>
  </si>
  <si>
    <t>Ministra (s) Pérez condenó enérgicamente el femicidio de Cármen Vázquez de la comuna de San Javier</t>
  </si>
  <si>
    <t>araucaniacuenta</t>
  </si>
  <si>
    <t>araucaniacuenta.cl</t>
  </si>
  <si>
    <t>Primer femicidio del año se registró ayer en Carrizal</t>
  </si>
  <si>
    <t>diarioelcentro</t>
  </si>
  <si>
    <t>diarioelcentro.cl</t>
  </si>
  <si>
    <t>MINISTRA (S) DE LA MUJER REPUDIÓ FEMICIDIO DE CARMEN VÁSQUEZ</t>
  </si>
  <si>
    <t>lanacion</t>
  </si>
  <si>
    <t>lanacion.cl</t>
  </si>
  <si>
    <t>ENLACE DAÑADO</t>
  </si>
  <si>
    <t>edicioncero</t>
  </si>
  <si>
    <t>edicioncero.cl</t>
  </si>
  <si>
    <t>BRUTAL FEMICIDIO; SUJETO MATA A SU ESPOSA CON UN GOLPE DE HACHA EN LA CABEZA</t>
  </si>
  <si>
    <t>atentos</t>
  </si>
  <si>
    <t>atentos.cl</t>
  </si>
  <si>
    <t>Ministra de la Mujer (s) y femicidio en San Bernardo: urge un cambio cultural entre todos</t>
  </si>
  <si>
    <t>biobiochile</t>
  </si>
  <si>
    <t>biobiochile.cl</t>
  </si>
  <si>
    <t>Femicidio: Mujer de 26 años muere por disparo en San Bernardo</t>
  </si>
  <si>
    <t>t13</t>
  </si>
  <si>
    <t>t13.cl</t>
  </si>
  <si>
    <t>Hombre asesina a su expareja y se suicida en plena vía pública</t>
  </si>
  <si>
    <t>diarioeldia</t>
  </si>
  <si>
    <t>diarioeldia.cl</t>
  </si>
  <si>
    <t>Nuevo femicidio: Mujer de 26 años murió por impactos de bala</t>
  </si>
  <si>
    <t>chvnoticias</t>
  </si>
  <si>
    <t>chvnoticias.cl</t>
  </si>
  <si>
    <t>Indagan posible femicidio y posterior suicidio en La Pintana</t>
  </si>
  <si>
    <t>Joven viajó a Santiago para pasar con su pololo el Día del Amor y éste la mató</t>
  </si>
  <si>
    <t>Investigan posible femicidio en La Pintana</t>
  </si>
  <si>
    <t>adnradio</t>
  </si>
  <si>
    <t>adnradio.cl</t>
  </si>
  <si>
    <t>La celebración previa a la muerte de joven pareja en La Pintana</t>
  </si>
  <si>
    <t>24horas</t>
  </si>
  <si>
    <t>24horas.cl</t>
  </si>
  <si>
    <t>eldiario</t>
  </si>
  <si>
    <t>eldiario.news</t>
  </si>
  <si>
    <t>Cónyuge se suicidó: Investigan posible femicidio de mujer de 34 años en la comuna de Pemuco</t>
  </si>
  <si>
    <t>INVESTIGAN POSIBLE FEMICIDIO EN LA COMUNA DE PEMUCO</t>
  </si>
  <si>
    <t>ladiscusion</t>
  </si>
  <si>
    <t>ladiscusion.cl</t>
  </si>
  <si>
    <t>Formalizarán a menor de 14 años por eventual participación en asesinato de sus padres</t>
  </si>
  <si>
    <t>Autoridades investigan hallazgo de los cuerpos de un matrimonio en Pemuco</t>
  </si>
  <si>
    <t>emol</t>
  </si>
  <si>
    <t>emol.com</t>
  </si>
  <si>
    <t>Mujer muere asesinada por ex pareja en el séptimo femicidio de 2017</t>
  </si>
  <si>
    <t>Femicidio en Molina: familia de víctima exige un “castigo ejemplar”</t>
  </si>
  <si>
    <t>Una joven de 24 años es la nueva víctima de feminicidio en Chile</t>
  </si>
  <si>
    <t>eldiario.ec</t>
  </si>
  <si>
    <t>Tribunal decretó prisión preventiva para imputado por femicidio en Molina</t>
  </si>
  <si>
    <t>Nuevo caso de femicidio: Hija menor encuentra muertos a sus padres</t>
  </si>
  <si>
    <t>Una mujer de 48 años es la décima víctima de feminicidio en Chile en 2017</t>
  </si>
  <si>
    <t>efe</t>
  </si>
  <si>
    <t>efe.com</t>
  </si>
  <si>
    <t>Nuevo femicidio: Hombre mató a su pareja y luego se suicidó</t>
  </si>
  <si>
    <t>Un femicidio y posterior suicidio quedó al descubierto en Pudahuel</t>
  </si>
  <si>
    <t>wradio</t>
  </si>
  <si>
    <t>wradio.com.co</t>
  </si>
  <si>
    <t>Imputado asfixió a su conviviente y escondió el cuerpo en el patio de la casa</t>
  </si>
  <si>
    <t>eldivisadero</t>
  </si>
  <si>
    <t>eldivisadero.cl</t>
  </si>
  <si>
    <t>Hombre acusado de femicidio confesó que estranguló a su pareja</t>
  </si>
  <si>
    <t>redaysen</t>
  </si>
  <si>
    <t>redaysen.com</t>
  </si>
  <si>
    <t>En prisión sujeto acusado de estrangular a su pareja y luego esconder su cuerpo durante cinco días en Coyhaique</t>
  </si>
  <si>
    <t>Nuevo femicidio: Sujeto mata a su pareja y luego se suicida en San Bernardo</t>
  </si>
  <si>
    <t>Integra emite declaración pública tras femicidio de funcionaria de jardín infantil</t>
  </si>
  <si>
    <t xml:space="preserve">3/31/2017
</t>
  </si>
  <si>
    <t>msn</t>
  </si>
  <si>
    <t>msn.com</t>
  </si>
  <si>
    <t>Nuevo femicidio: Hombre mató a su pareja y luego se suicidó en San Bernardo</t>
  </si>
  <si>
    <t>Femicidio y posterior suicidio impactan a Limache</t>
  </si>
  <si>
    <t>diariocronica</t>
  </si>
  <si>
    <t>diariocronica.cl</t>
  </si>
  <si>
    <t>Limache: Encuentran a pareja muerta al interior de un hogar</t>
  </si>
  <si>
    <t>Mujer de 30 años se convierte en la víctima 12 de feminicidio en lo que va del año</t>
  </si>
  <si>
    <t>elmostrador</t>
  </si>
  <si>
    <t>elmostrador.cl</t>
  </si>
  <si>
    <t>Labocar de Carabineros investiga femicidio en la Comuna de Limache</t>
  </si>
  <si>
    <t>canal74</t>
  </si>
  <si>
    <t>canal74.cl</t>
  </si>
  <si>
    <t>Impacto luego de tres casos de femicidio en menos de 48 horas: "Es un problema país"</t>
  </si>
  <si>
    <t>Labocar investiga posible femicidio con posterior suicidio del autor en Limache</t>
  </si>
  <si>
    <t>radiovalparaiso</t>
  </si>
  <si>
    <t>radiovalparaiso.cl</t>
  </si>
  <si>
    <t>Los detalles del macabro femicidio en Antofagasta según el relato del fiscal</t>
  </si>
  <si>
    <t>Encuentran cadáver de mujer al interior de clínica oftalmológica en Antofagasta</t>
  </si>
  <si>
    <t>La impactante confesión del imputado por femicidio en Antofagasta</t>
  </si>
  <si>
    <t>diarioantofagasta</t>
  </si>
  <si>
    <t>diarioantofagasta.cl</t>
  </si>
  <si>
    <t>Sujeto confiesa haber asesinado a su ex esposa al interior de una clínica oftalmológica en Antofagasta</t>
  </si>
  <si>
    <t>Antofagasta: Joven madre fue asesinada por su ex marido</t>
  </si>
  <si>
    <t>La insólita confesión telefónica de acusado de femicidio que indignó a Antofagasta</t>
  </si>
  <si>
    <t>eldinamo</t>
  </si>
  <si>
    <t>eldinamo.cl</t>
  </si>
  <si>
    <t>"Me pegué un condoro": La insólita confesión del imputado de femicidio en Antofagasta</t>
  </si>
  <si>
    <t>Carabineros detuvo a principal sospechoso de femicidio en Dalcahue</t>
  </si>
  <si>
    <t>La violenta historia de oriundos de Osorno tras virtual femicidio en Dalcahue</t>
  </si>
  <si>
    <t>laopiniondechiloe</t>
  </si>
  <si>
    <t>laopiniondechiloe.cl</t>
  </si>
  <si>
    <t>Femicidio ocurrido la noche del viernes conmueve a la comuna de Dalcahue</t>
  </si>
  <si>
    <t>radioestrelladelmar</t>
  </si>
  <si>
    <t>radioestrelladelmar.cl</t>
  </si>
  <si>
    <t>Imputado por femicidio en Chiloé quedó en prisión preventiva</t>
  </si>
  <si>
    <t>epicentrochile</t>
  </si>
  <si>
    <t>epicentrochile.com</t>
  </si>
  <si>
    <t>Denuncias de violencia intrafamiliar en Osorno tras el femicidio ocurrido en Dalcahu</t>
  </si>
  <si>
    <t>paislobo</t>
  </si>
  <si>
    <t>paislobo.cl</t>
  </si>
  <si>
    <t>Femicidio en Rancagua: Joven asesina a su polola y luego se quita la vida</t>
  </si>
  <si>
    <t>Femicidio: joven de 29 años mató a su pareja y posteriormente se suicidó</t>
  </si>
  <si>
    <t>redohiggins</t>
  </si>
  <si>
    <t>redohiggins.com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</si>
</sst>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Arial"/>
      <family val="2"/>
    </font>
    <font>
      <u/>
      <sz val="11"/>
      <color rgb="FF000000"/>
      <name val="Calibri"/>
      <family val="2"/>
      <scheme val="minor"/>
    </font>
    <font>
      <sz val="9"/>
      <color rgb="FF333333"/>
      <name val="Arial"/>
      <family val="2"/>
    </font>
    <font>
      <sz val="8"/>
      <color rgb="FF333333"/>
      <name val="Open Sans"/>
    </font>
    <font>
      <b/>
      <sz val="15"/>
      <color rgb="FF333333"/>
      <name val="Open Sans"/>
    </font>
    <font>
      <sz val="23"/>
      <color rgb="FF024D99"/>
      <name val="Lato"/>
    </font>
    <font>
      <sz val="11"/>
      <color rgb="FF333333"/>
      <name val="Roboto"/>
    </font>
    <font>
      <sz val="24"/>
      <color rgb="FF005DA3"/>
      <name val="Roboto"/>
    </font>
    <font>
      <b/>
      <sz val="9"/>
      <color rgb="FF333333"/>
      <name val="Open Sans"/>
    </font>
    <font>
      <b/>
      <sz val="24"/>
      <color rgb="FF1A1A1A"/>
      <name val="Open Sans"/>
    </font>
    <font>
      <sz val="9"/>
      <color rgb="FF555555"/>
      <name val="Opensans"/>
    </font>
    <font>
      <sz val="17"/>
      <color rgb="FF000000"/>
      <name val="OpensansB"/>
    </font>
    <font>
      <sz val="11"/>
      <color rgb="FF000000"/>
      <name val="Proximanova"/>
    </font>
    <font>
      <i/>
      <sz val="11"/>
      <color rgb="FF799C0F"/>
      <name val="Arial"/>
      <family val="2"/>
    </font>
    <font>
      <b/>
      <sz val="14"/>
      <color rgb="FF6C8915"/>
      <name val="MYRIADPROREGULAR"/>
    </font>
    <font>
      <sz val="11"/>
      <color rgb="FF000000"/>
      <name val="Open Sans"/>
    </font>
    <font>
      <b/>
      <sz val="17"/>
      <color rgb="FF000000"/>
      <name val="Open Sans"/>
    </font>
    <font>
      <b/>
      <sz val="17"/>
      <color rgb="FF003399"/>
      <name val="Arial"/>
      <family val="2"/>
    </font>
    <font>
      <sz val="17"/>
      <color rgb="FF000000"/>
      <name val="Utopia-bold"/>
    </font>
    <font>
      <sz val="23"/>
      <color rgb="FF000000"/>
      <name val="Utopia-semibold"/>
    </font>
    <font>
      <i/>
      <sz val="8"/>
      <color rgb="FF878787"/>
      <name val="Fira Sans"/>
    </font>
    <font>
      <b/>
      <sz val="11"/>
      <color rgb="FF4D5055"/>
      <name val="Fira Sans"/>
    </font>
    <font>
      <sz val="11"/>
      <color rgb="FF333333"/>
      <name val="Segoe UI Bold"/>
    </font>
    <font>
      <sz val="9"/>
      <color theme="1"/>
      <name val="Roboto Slab"/>
    </font>
    <font>
      <b/>
      <sz val="11"/>
      <color theme="1"/>
      <name val="Roboto Slab"/>
    </font>
    <font>
      <sz val="8"/>
      <color rgb="FFA6A6A6"/>
      <name val="Doppio One"/>
    </font>
    <font>
      <sz val="15"/>
      <color rgb="FF19232D"/>
      <name val="ABeeZee"/>
    </font>
    <font>
      <sz val="8"/>
      <color rgb="FF424242"/>
      <name val="DroidSans"/>
    </font>
    <font>
      <sz val="11"/>
      <color rgb="FF000000"/>
      <name val="DroidSerif-Bold"/>
    </font>
    <font>
      <sz val="18"/>
      <color rgb="FF750504"/>
      <name val="Pontano Sans"/>
    </font>
    <font>
      <sz val="9"/>
      <color rgb="FF707070"/>
      <name val="Source Sans Pro"/>
    </font>
    <font>
      <b/>
      <sz val="11"/>
      <color rgb="FF005895"/>
      <name val="Source Sans Pro"/>
    </font>
    <font>
      <sz val="8"/>
      <color rgb="FF444444"/>
      <name val="Open Sans"/>
    </font>
    <font>
      <sz val="11"/>
      <color rgb="FF5A5A5A"/>
      <name val="Arial"/>
      <family val="2"/>
    </font>
    <font>
      <sz val="8"/>
      <color rgb="FF222222"/>
      <name val="Arial"/>
      <family val="2"/>
    </font>
    <font>
      <sz val="23"/>
      <color rgb="FF222222"/>
      <name val="Roboto"/>
    </font>
    <font>
      <b/>
      <sz val="11"/>
      <color rgb="FF000000"/>
      <name val="Adamina"/>
    </font>
    <font>
      <sz val="11"/>
      <color rgb="FF8C8C8C"/>
      <name val="Encode Sans"/>
    </font>
    <font>
      <sz val="11"/>
      <color rgb="FF000000"/>
      <name val="Helvetica"/>
    </font>
    <font>
      <sz val="11"/>
      <color rgb="FF444444"/>
      <name val="Arial"/>
      <family val="2"/>
    </font>
    <font>
      <b/>
      <sz val="18"/>
      <color rgb="FF44444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1F1F1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1" xfId="1" applyBorder="1" applyAlignment="1">
      <alignment wrapText="1"/>
    </xf>
    <xf numFmtId="0" fontId="1" fillId="2" borderId="1" xfId="1" applyFill="1" applyBorder="1" applyAlignment="1">
      <alignment wrapText="1"/>
    </xf>
    <xf numFmtId="0" fontId="1" fillId="0" borderId="2" xfId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3" borderId="4" xfId="0" applyFont="1" applyFill="1" applyBorder="1" applyAlignment="1">
      <alignment wrapText="1"/>
    </xf>
    <xf numFmtId="0" fontId="4" fillId="3" borderId="5" xfId="0" applyFont="1" applyFill="1" applyBorder="1" applyAlignment="1">
      <alignment wrapText="1"/>
    </xf>
    <xf numFmtId="0" fontId="5" fillId="0" borderId="3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0" fillId="0" borderId="1" xfId="0" applyBorder="1" applyAlignment="1">
      <alignment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right" wrapText="1"/>
    </xf>
    <xf numFmtId="0" fontId="6" fillId="2" borderId="1" xfId="0" applyFont="1" applyFill="1" applyBorder="1" applyAlignment="1">
      <alignment wrapText="1"/>
    </xf>
    <xf numFmtId="0" fontId="6" fillId="2" borderId="1" xfId="0" applyFont="1" applyFill="1" applyBorder="1" applyAlignment="1">
      <alignment horizontal="right" wrapText="1"/>
    </xf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8" fillId="3" borderId="6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2" fillId="0" borderId="7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2" borderId="7" xfId="0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2" fillId="0" borderId="9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10" fillId="2" borderId="1" xfId="0" applyFont="1" applyFill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4" fillId="3" borderId="6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14" fontId="6" fillId="0" borderId="1" xfId="0" applyNumberFormat="1" applyFont="1" applyBorder="1" applyAlignment="1">
      <alignment horizontal="right" wrapText="1"/>
    </xf>
    <xf numFmtId="14" fontId="6" fillId="2" borderId="1" xfId="0" applyNumberFormat="1" applyFont="1" applyFill="1" applyBorder="1" applyAlignment="1">
      <alignment horizontal="right" wrapText="1"/>
    </xf>
    <xf numFmtId="0" fontId="6" fillId="3" borderId="6" xfId="0" applyFont="1" applyFill="1" applyBorder="1" applyAlignment="1">
      <alignment wrapText="1"/>
    </xf>
    <xf numFmtId="0" fontId="6" fillId="0" borderId="3" xfId="0" applyFont="1" applyBorder="1" applyAlignment="1">
      <alignment wrapText="1"/>
    </xf>
    <xf numFmtId="0" fontId="6" fillId="0" borderId="3" xfId="0" applyFont="1" applyBorder="1" applyAlignment="1">
      <alignment vertical="center"/>
    </xf>
    <xf numFmtId="0" fontId="4" fillId="3" borderId="3" xfId="0" applyFont="1" applyFill="1" applyBorder="1" applyAlignment="1">
      <alignment wrapText="1"/>
    </xf>
    <xf numFmtId="0" fontId="2" fillId="3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1" fillId="2" borderId="2" xfId="1" applyFill="1" applyBorder="1" applyAlignment="1">
      <alignment vertical="center"/>
    </xf>
    <xf numFmtId="0" fontId="8" fillId="3" borderId="5" xfId="0" applyFont="1" applyFill="1" applyBorder="1" applyAlignment="1">
      <alignment vertical="top" wrapText="1"/>
    </xf>
    <xf numFmtId="0" fontId="2" fillId="0" borderId="3" xfId="0" applyFont="1" applyBorder="1" applyAlignment="1">
      <alignment wrapText="1"/>
    </xf>
    <xf numFmtId="14" fontId="2" fillId="0" borderId="1" xfId="0" applyNumberFormat="1" applyFont="1" applyBorder="1" applyAlignment="1">
      <alignment horizontal="right" wrapText="1"/>
    </xf>
    <xf numFmtId="0" fontId="1" fillId="0" borderId="3" xfId="1" applyBorder="1" applyAlignment="1">
      <alignment wrapText="1"/>
    </xf>
    <xf numFmtId="0" fontId="0" fillId="2" borderId="2" xfId="0" applyFill="1" applyBorder="1" applyAlignment="1">
      <alignment wrapText="1"/>
    </xf>
    <xf numFmtId="0" fontId="11" fillId="2" borderId="2" xfId="0" applyFont="1" applyFill="1" applyBorder="1" applyAlignment="1">
      <alignment wrapText="1"/>
    </xf>
    <xf numFmtId="0" fontId="2" fillId="0" borderId="1" xfId="0" applyFont="1" applyBorder="1" applyAlignment="1">
      <alignment vertical="top" wrapText="1"/>
    </xf>
    <xf numFmtId="14" fontId="12" fillId="2" borderId="4" xfId="0" applyNumberFormat="1" applyFont="1" applyFill="1" applyBorder="1" applyAlignment="1">
      <alignment horizontal="right" wrapText="1"/>
    </xf>
    <xf numFmtId="0" fontId="1" fillId="0" borderId="3" xfId="1" applyBorder="1" applyAlignment="1">
      <alignment vertical="center"/>
    </xf>
    <xf numFmtId="0" fontId="0" fillId="0" borderId="2" xfId="0" applyBorder="1" applyAlignment="1">
      <alignment wrapText="1"/>
    </xf>
    <xf numFmtId="14" fontId="1" fillId="2" borderId="4" xfId="1" applyNumberFormat="1" applyFill="1" applyBorder="1" applyAlignment="1">
      <alignment horizontal="right" wrapText="1"/>
    </xf>
    <xf numFmtId="14" fontId="13" fillId="2" borderId="3" xfId="0" applyNumberFormat="1" applyFont="1" applyFill="1" applyBorder="1" applyAlignment="1">
      <alignment wrapText="1"/>
    </xf>
    <xf numFmtId="0" fontId="14" fillId="2" borderId="3" xfId="0" applyFont="1" applyFill="1" applyBorder="1" applyAlignment="1">
      <alignment wrapText="1"/>
    </xf>
    <xf numFmtId="14" fontId="12" fillId="2" borderId="3" xfId="0" applyNumberFormat="1" applyFont="1" applyFill="1" applyBorder="1" applyAlignment="1">
      <alignment horizontal="right" wrapText="1"/>
    </xf>
    <xf numFmtId="0" fontId="15" fillId="2" borderId="3" xfId="0" applyFont="1" applyFill="1" applyBorder="1" applyAlignment="1">
      <alignment wrapText="1"/>
    </xf>
    <xf numFmtId="14" fontId="16" fillId="5" borderId="3" xfId="0" applyNumberFormat="1" applyFont="1" applyFill="1" applyBorder="1" applyAlignment="1">
      <alignment horizontal="right" wrapText="1"/>
    </xf>
    <xf numFmtId="0" fontId="17" fillId="5" borderId="3" xfId="0" applyFont="1" applyFill="1" applyBorder="1" applyAlignment="1">
      <alignment wrapText="1"/>
    </xf>
    <xf numFmtId="14" fontId="18" fillId="2" borderId="3" xfId="0" applyNumberFormat="1" applyFont="1" applyFill="1" applyBorder="1" applyAlignment="1">
      <alignment horizontal="right" wrapText="1"/>
    </xf>
    <xf numFmtId="0" fontId="19" fillId="2" borderId="3" xfId="0" applyFont="1" applyFill="1" applyBorder="1" applyAlignment="1">
      <alignment wrapText="1"/>
    </xf>
    <xf numFmtId="14" fontId="20" fillId="2" borderId="3" xfId="0" applyNumberFormat="1" applyFont="1" applyFill="1" applyBorder="1" applyAlignment="1">
      <alignment horizontal="right" wrapText="1"/>
    </xf>
    <xf numFmtId="0" fontId="21" fillId="2" borderId="3" xfId="0" applyFont="1" applyFill="1" applyBorder="1" applyAlignment="1">
      <alignment wrapText="1"/>
    </xf>
    <xf numFmtId="14" fontId="0" fillId="0" borderId="3" xfId="0" applyNumberFormat="1" applyBorder="1" applyAlignment="1">
      <alignment horizontal="right" wrapText="1"/>
    </xf>
    <xf numFmtId="0" fontId="22" fillId="2" borderId="3" xfId="0" applyFont="1" applyFill="1" applyBorder="1" applyAlignment="1">
      <alignment wrapText="1"/>
    </xf>
    <xf numFmtId="14" fontId="23" fillId="2" borderId="3" xfId="0" applyNumberFormat="1" applyFont="1" applyFill="1" applyBorder="1" applyAlignment="1">
      <alignment horizontal="right" wrapText="1"/>
    </xf>
    <xf numFmtId="0" fontId="24" fillId="2" borderId="3" xfId="0" applyFont="1" applyFill="1" applyBorder="1" applyAlignment="1">
      <alignment wrapText="1"/>
    </xf>
    <xf numFmtId="14" fontId="25" fillId="5" borderId="3" xfId="0" applyNumberFormat="1" applyFont="1" applyFill="1" applyBorder="1" applyAlignment="1">
      <alignment horizontal="right" wrapText="1"/>
    </xf>
    <xf numFmtId="0" fontId="26" fillId="5" borderId="3" xfId="0" applyFont="1" applyFill="1" applyBorder="1" applyAlignment="1">
      <alignment wrapText="1"/>
    </xf>
    <xf numFmtId="0" fontId="27" fillId="2" borderId="3" xfId="0" applyFont="1" applyFill="1" applyBorder="1" applyAlignment="1">
      <alignment wrapText="1"/>
    </xf>
    <xf numFmtId="14" fontId="28" fillId="0" borderId="3" xfId="0" applyNumberFormat="1" applyFont="1" applyBorder="1" applyAlignment="1">
      <alignment horizontal="right" wrapText="1"/>
    </xf>
    <xf numFmtId="0" fontId="29" fillId="0" borderId="3" xfId="0" applyFont="1" applyBorder="1" applyAlignment="1">
      <alignment wrapText="1"/>
    </xf>
    <xf numFmtId="14" fontId="30" fillId="6" borderId="3" xfId="0" applyNumberFormat="1" applyFont="1" applyFill="1" applyBorder="1" applyAlignment="1">
      <alignment horizontal="right" wrapText="1"/>
    </xf>
    <xf numFmtId="0" fontId="31" fillId="6" borderId="3" xfId="0" applyFont="1" applyFill="1" applyBorder="1" applyAlignment="1">
      <alignment wrapText="1"/>
    </xf>
    <xf numFmtId="0" fontId="32" fillId="2" borderId="3" xfId="0" applyFont="1" applyFill="1" applyBorder="1" applyAlignment="1">
      <alignment horizontal="center" wrapText="1"/>
    </xf>
    <xf numFmtId="14" fontId="33" fillId="2" borderId="3" xfId="0" applyNumberFormat="1" applyFont="1" applyFill="1" applyBorder="1" applyAlignment="1">
      <alignment horizontal="right" wrapText="1"/>
    </xf>
    <xf numFmtId="0" fontId="34" fillId="0" borderId="3" xfId="0" applyFont="1" applyBorder="1" applyAlignment="1">
      <alignment wrapText="1"/>
    </xf>
    <xf numFmtId="14" fontId="35" fillId="2" borderId="3" xfId="0" applyNumberFormat="1" applyFont="1" applyFill="1" applyBorder="1" applyAlignment="1">
      <alignment wrapText="1"/>
    </xf>
    <xf numFmtId="0" fontId="36" fillId="2" borderId="2" xfId="0" applyFont="1" applyFill="1" applyBorder="1" applyAlignment="1">
      <alignment wrapText="1"/>
    </xf>
    <xf numFmtId="14" fontId="30" fillId="6" borderId="4" xfId="0" applyNumberFormat="1" applyFont="1" applyFill="1" applyBorder="1" applyAlignment="1">
      <alignment horizontal="right" wrapText="1"/>
    </xf>
    <xf numFmtId="14" fontId="37" fillId="2" borderId="3" xfId="0" applyNumberFormat="1" applyFont="1" applyFill="1" applyBorder="1" applyAlignment="1">
      <alignment horizontal="right" wrapText="1"/>
    </xf>
    <xf numFmtId="0" fontId="38" fillId="2" borderId="3" xfId="0" applyFont="1" applyFill="1" applyBorder="1" applyAlignment="1">
      <alignment wrapText="1"/>
    </xf>
    <xf numFmtId="0" fontId="39" fillId="2" borderId="3" xfId="0" applyFont="1" applyFill="1" applyBorder="1" applyAlignment="1">
      <alignment wrapText="1"/>
    </xf>
    <xf numFmtId="14" fontId="40" fillId="2" borderId="3" xfId="0" applyNumberFormat="1" applyFont="1" applyFill="1" applyBorder="1" applyAlignment="1">
      <alignment horizontal="right" wrapText="1"/>
    </xf>
    <xf numFmtId="0" fontId="41" fillId="0" borderId="2" xfId="0" applyFont="1" applyBorder="1" applyAlignment="1">
      <alignment wrapText="1"/>
    </xf>
    <xf numFmtId="14" fontId="28" fillId="0" borderId="4" xfId="0" applyNumberFormat="1" applyFont="1" applyBorder="1" applyAlignment="1">
      <alignment horizontal="right" wrapText="1"/>
    </xf>
    <xf numFmtId="14" fontId="42" fillId="2" borderId="4" xfId="0" applyNumberFormat="1" applyFont="1" applyFill="1" applyBorder="1" applyAlignment="1">
      <alignment horizontal="right" wrapText="1"/>
    </xf>
    <xf numFmtId="14" fontId="43" fillId="2" borderId="3" xfId="0" applyNumberFormat="1" applyFont="1" applyFill="1" applyBorder="1" applyAlignment="1">
      <alignment horizontal="right" wrapText="1"/>
    </xf>
    <xf numFmtId="14" fontId="44" fillId="0" borderId="3" xfId="0" applyNumberFormat="1" applyFont="1" applyBorder="1" applyAlignment="1">
      <alignment horizontal="right" wrapText="1"/>
    </xf>
    <xf numFmtId="0" fontId="45" fillId="0" borderId="3" xfId="0" applyFont="1" applyBorder="1" applyAlignment="1">
      <alignment wrapText="1"/>
    </xf>
    <xf numFmtId="0" fontId="46" fillId="2" borderId="2" xfId="0" applyFont="1" applyFill="1" applyBorder="1" applyAlignment="1">
      <alignment wrapText="1"/>
    </xf>
    <xf numFmtId="14" fontId="47" fillId="2" borderId="3" xfId="0" applyNumberFormat="1" applyFont="1" applyFill="1" applyBorder="1" applyAlignment="1">
      <alignment horizontal="right" wrapText="1"/>
    </xf>
    <xf numFmtId="0" fontId="48" fillId="2" borderId="3" xfId="0" applyFont="1" applyFill="1" applyBorder="1" applyAlignment="1">
      <alignment wrapText="1"/>
    </xf>
    <xf numFmtId="14" fontId="49" fillId="2" borderId="3" xfId="0" applyNumberFormat="1" applyFont="1" applyFill="1" applyBorder="1" applyAlignment="1">
      <alignment horizontal="right" wrapText="1"/>
    </xf>
    <xf numFmtId="0" fontId="50" fillId="2" borderId="3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soychile.cl/Temuco/Sociedad/2017/06/08/468850/Ministra-Pascual-condeno-el-homicidio-de-Roxana-Bravo-y-sus-dos-hijos.aspx" TargetMode="External"/><Relationship Id="rId299" Type="http://schemas.openxmlformats.org/officeDocument/2006/relationships/hyperlink" Target="https://www.elciudadano.cl/organizacion-social/nuevo-asesinato-de-joven-lesbiana-pone-en-alerta-a-las-agrupaciones-feministas/03/24/" TargetMode="External"/><Relationship Id="rId303" Type="http://schemas.openxmlformats.org/officeDocument/2006/relationships/hyperlink" Target="http://www.biobiochile.cl/noticias/nacional/region-de-antofagasta/2016/08/26/justicia-formaliza-a-acusado-de-matar-a-su-pareja-e-hija-de-tres-anos-en-calama.shtml" TargetMode="External"/><Relationship Id="rId21" Type="http://schemas.openxmlformats.org/officeDocument/2006/relationships/hyperlink" Target="http://www.t13.cl/noticia/nacional/Femicidio-Mujer-de-26-anos-muere-por-un-disparo-en-San-Bernardo" TargetMode="External"/><Relationship Id="rId42" Type="http://schemas.openxmlformats.org/officeDocument/2006/relationships/hyperlink" Target="http://www.eldivisadero.cl/noticia-41810" TargetMode="External"/><Relationship Id="rId63" Type="http://schemas.openxmlformats.org/officeDocument/2006/relationships/hyperlink" Target="http://laopiniondechiloe.cl/la-violenta-historia-de-oriundos-de-osorno-tras-virtual-femicidio-en-dalcahue/" TargetMode="External"/><Relationship Id="rId84" Type="http://schemas.openxmlformats.org/officeDocument/2006/relationships/hyperlink" Target="http://www.24horas.cl/nacional/agresor-se-quita-la-vida-tras-asesinar-a-su-ex-pareja-en-la-octava-region-2371147" TargetMode="External"/><Relationship Id="rId138" Type="http://schemas.openxmlformats.org/officeDocument/2006/relationships/hyperlink" Target="http://www.radiocondell.cl/2017/08/28/nuevo-femicidio-individuo-frente-a-los-hijos-mato-a-su-esposa-y-luego-se-suicido/" TargetMode="External"/><Relationship Id="rId159" Type="http://schemas.openxmlformats.org/officeDocument/2006/relationships/hyperlink" Target="https://www.cooperativa.cl/noticias/pais/policial/femicidio/hombre-mato-a-su-conviviente-y-se-suicido/2017-10-20/141029.html" TargetMode="External"/><Relationship Id="rId324" Type="http://schemas.openxmlformats.org/officeDocument/2006/relationships/hyperlink" Target="http://www.lanacion.com.ar/1935721-mariela-del-carmen-fernandez-chile-muerte-femicidio" TargetMode="External"/><Relationship Id="rId345" Type="http://schemas.openxmlformats.org/officeDocument/2006/relationships/hyperlink" Target="https://www.laopinion.com.co/mundo/colombiana-fue-asesinada-por-su-esposo-en-una-notaria-de-chile-120784" TargetMode="External"/><Relationship Id="rId366" Type="http://schemas.openxmlformats.org/officeDocument/2006/relationships/hyperlink" Target="http://www.emol.com/noticias/Nacional/2016/11/04/829754/Femicidio-numero-29-joven-embarazada-es-estrangulada-por-pareja.html" TargetMode="External"/><Relationship Id="rId170" Type="http://schemas.openxmlformats.org/officeDocument/2006/relationships/hyperlink" Target="http://www.soychile.cl/Santiago/Sociedad/2017/10/30/495869/SernamEG-condeno-femicidio-en-Puente-Alto-Victimas-como-Muriel-no-son-solo-cifras.aspx" TargetMode="External"/><Relationship Id="rId191" Type="http://schemas.openxmlformats.org/officeDocument/2006/relationships/hyperlink" Target="http://m.cooperativa.cl/noticias/pais/policial/femicidio/lo-espejo-hombre-mato-de-un-balazo-a-su-pareja-en-plena-calle/2017-11-29/223224.html" TargetMode="External"/><Relationship Id="rId205" Type="http://schemas.openxmlformats.org/officeDocument/2006/relationships/hyperlink" Target="http://www.emol.com/noticias/Nacional/2016/01/02/766464/PDI-investiga-nuevo-femicidio-en-la-comuna-de-Recoleta.html" TargetMode="External"/><Relationship Id="rId226" Type="http://schemas.openxmlformats.org/officeDocument/2006/relationships/hyperlink" Target="http://www.chvnoticias.cl/policial/mato-a-su-esposa-y-paseo-su-cuerpo-en-el-asiento-de-copiloto/2016-03-03/212315.html" TargetMode="External"/><Relationship Id="rId247" Type="http://schemas.openxmlformats.org/officeDocument/2006/relationships/hyperlink" Target="http://www.cooperativa.cl/noticias/pais/policial/femicidio/en-talcahuano-ocurrio-el-septimo-femicidio-del-ano/2016-03-07/201131.html" TargetMode="External"/><Relationship Id="rId107" Type="http://schemas.openxmlformats.org/officeDocument/2006/relationships/hyperlink" Target="http://www.24horas.cl/nacional/pareja-y-su-amigo-fueron-autores-de-femicidio-de-mujer-calcinada-en-freire-2397631" TargetMode="External"/><Relationship Id="rId268" Type="http://schemas.openxmlformats.org/officeDocument/2006/relationships/hyperlink" Target="http://www.soychile.cl/Chillan/Policial/2017/06/02/467735/Declaran-culpable-a-imputado-por-femicidio-de-vendedora-ambulante-en-Quillon.aspx" TargetMode="External"/><Relationship Id="rId289" Type="http://schemas.openxmlformats.org/officeDocument/2006/relationships/hyperlink" Target="https://www.publimetro.cl/cl/nacional/2016/05/30/femicidio-formalizan-mujer-que-mato-polola-quedo-prision-preventiva.html" TargetMode="External"/><Relationship Id="rId11" Type="http://schemas.openxmlformats.org/officeDocument/2006/relationships/hyperlink" Target="http://www.ntn24.com/video/nuevo-caso-de-feminicidio-en-chile-130962" TargetMode="External"/><Relationship Id="rId32" Type="http://schemas.openxmlformats.org/officeDocument/2006/relationships/hyperlink" Target="http://www.emol.com/noticias/Nacional/2017/02/24/846536/Autoridades-investigan-hallazgo-de-los-cuerpos-de-un-matrimonio-en-Pemuco.html" TargetMode="External"/><Relationship Id="rId53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74" Type="http://schemas.openxmlformats.org/officeDocument/2006/relationships/hyperlink" Target="http://lanacion.cl/2017/04/16/amplian-detencion-de-sujeto-que-mato-a-hachazos-a-su-esposa/" TargetMode="External"/><Relationship Id="rId128" Type="http://schemas.openxmlformats.org/officeDocument/2006/relationships/hyperlink" Target="http://www.biobiochile.cl/noticias/nacional/region-de-coquimbo/2017/07/29/mujer-murio-estrangulada-en-la-serena-y-pareja-intento-suicidarse-investigan-femicidio.shtml" TargetMode="External"/><Relationship Id="rId149" Type="http://schemas.openxmlformats.org/officeDocument/2006/relationships/hyperlink" Target="https://docs.google.com/spreadsheets/d/1YoRhvIyEnnM8PNWDB1dRu279pTIeFMVqCAuX5KTXSuU/edit" TargetMode="External"/><Relationship Id="rId314" Type="http://schemas.openxmlformats.org/officeDocument/2006/relationships/hyperlink" Target="http://latendencia.cl/2016/08/20/actualidad/nuevo-femicidio-hombre-de-71-anos-asesino-su-pareja-40-anos-menor/" TargetMode="External"/><Relationship Id="rId335" Type="http://schemas.openxmlformats.org/officeDocument/2006/relationships/hyperlink" Target="http://www.ahoranoticias.cl/noticias/nacional/181459-funcionario-de-la-pdi-detenido-por-la-muerte-de-su-pareja-quedo-en-libertad.html" TargetMode="External"/><Relationship Id="rId356" Type="http://schemas.openxmlformats.org/officeDocument/2006/relationships/hyperlink" Target="http://www.chvnoticias.cl/policial/sujeto-confeso-haber-matado-a-mujer-que-era-buscada/2016-10-21/141955.html" TargetMode="External"/><Relationship Id="rId377" Type="http://schemas.openxmlformats.org/officeDocument/2006/relationships/hyperlink" Target="http://www.soychile.cl/Calama/Sociedad/2016/11/24/431526/Mariela-Bolvaran-fue-asesinada-horas-despues-de-titularse-como-maestra-de-cocina.aspx" TargetMode="External"/><Relationship Id="rId5" Type="http://schemas.openxmlformats.org/officeDocument/2006/relationships/hyperlink" Target="http://eju.tv/2017/01/feminicida-confiesa-en-sucre-que-mato-a-su-esposa-en-chile/" TargetMode="External"/><Relationship Id="rId95" Type="http://schemas.openxmlformats.org/officeDocument/2006/relationships/hyperlink" Target="http://www.emol.com/noticias/Nacional/2017/05/23/859564/Cifra-de-femicidios-registra-alza-en-los-primeros-cinco-meses-de-2017-respecto-de-igual-periodo-del-ano-pasado.html" TargetMode="External"/><Relationship Id="rId160" Type="http://schemas.openxmlformats.org/officeDocument/2006/relationships/hyperlink" Target="https://reportechile.net/2017/10/hombre-mato-a-su-conviviente-y-se-suicido-en-san-fernando/" TargetMode="External"/><Relationship Id="rId181" Type="http://schemas.openxmlformats.org/officeDocument/2006/relationships/hyperlink" Target="http://www.biobiochile.cl/noticias/nacional/region-metropolitana/2017/11/05/hombre-fue-Detenido-por-matar-a-su-pareja-en-santiago-es-el-femicidio-35-durante-2017.shtml" TargetMode="External"/><Relationship Id="rId216" Type="http://schemas.openxmlformats.org/officeDocument/2006/relationships/hyperlink" Target="http://www.quieroelegir.cl/la-cruda-historia-del-ultimo-femicidio-en-chile/" TargetMode="External"/><Relationship Id="rId237" Type="http://schemas.openxmlformats.org/officeDocument/2006/relationships/hyperlink" Target="http://www.emol.com/noticias/Nacional/2016/03/06/791594/El-quinto-femicidio-del-ano-Mato-a-su-pareja-y-luego-se-quito-la-vida.html" TargetMode="External"/><Relationship Id="rId258" Type="http://schemas.openxmlformats.org/officeDocument/2006/relationships/hyperlink" Target="http://www.collipullense.cl/?p=3481" TargetMode="External"/><Relationship Id="rId279" Type="http://schemas.openxmlformats.org/officeDocument/2006/relationships/hyperlink" Target="http://www.tropezon.cl/2016/05/13/femicidio-encuentran-mujer-muerta-en-pudahuel-rural/" TargetMode="External"/><Relationship Id="rId22" Type="http://schemas.openxmlformats.org/officeDocument/2006/relationships/hyperlink" Target="http://www.diarioeldia.cl/pais/hombre-asesina-su-expareja-se-suicida-en-plena-publica" TargetMode="External"/><Relationship Id="rId43" Type="http://schemas.openxmlformats.org/officeDocument/2006/relationships/hyperlink" Target="http://redaysen.com/hombre-acusado-de-femicidio-confeso-que-estrangulo-a-su-pareja_1503061272oZkxP.html" TargetMode="External"/><Relationship Id="rId64" Type="http://schemas.openxmlformats.org/officeDocument/2006/relationships/hyperlink" Target="http://www.radioestrelladelmar.cl/?p=11638" TargetMode="External"/><Relationship Id="rId118" Type="http://schemas.openxmlformats.org/officeDocument/2006/relationships/hyperlink" Target="http://www.soychile.cl/Temuco/Policial/2017/06/06/468548/Madre-y-sus-dos-hijos-habrian-sido-asesinados-antes-del-incendio-en-San-Ramon.aspx" TargetMode="External"/><Relationship Id="rId139" Type="http://schemas.openxmlformats.org/officeDocument/2006/relationships/hyperlink" Target="http://www.diariolaprensa.cl/curico/femicidio-y-posterior-suicidio-estremece-a-lontue/" TargetMode="External"/><Relationship Id="rId290" Type="http://schemas.openxmlformats.org/officeDocument/2006/relationships/hyperlink" Target="http://www.lacuarta.com/noticia/ministerio-de-la-mujer-incluye-como-femicidio-crimen-entre-pareja-lesbiana/" TargetMode="External"/><Relationship Id="rId304" Type="http://schemas.openxmlformats.org/officeDocument/2006/relationships/hyperlink" Target="http://www.americatv.com.pe/noticias/internacionales/chile-joven-peruana-y-su-hija-fueron-asesinadas-punaladas-n240817" TargetMode="External"/><Relationship Id="rId325" Type="http://schemas.openxmlformats.org/officeDocument/2006/relationships/hyperlink" Target="https://www.infobae.com/sociedad/2016/09/08/un-chico-con-sindrome-de-asperger-clave-para-develar-el-femicidio-de-una-argentina-en-chile/" TargetMode="External"/><Relationship Id="rId346" Type="http://schemas.openxmlformats.org/officeDocument/2006/relationships/hyperlink" Target="https://www.elheraldo.co/mundo/colombiana-fue-asesinada-de-5-punaladas-por-su-esposo-en-chile-293778" TargetMode="External"/><Relationship Id="rId367" Type="http://schemas.openxmlformats.org/officeDocument/2006/relationships/hyperlink" Target="http://www.eldesconcierto.cl/2016/11/05/niunamenos-femicidio-de-johanna-soto-joven-madre-de-24-anos-causa-conmocion-en-quillota/" TargetMode="External"/><Relationship Id="rId85" Type="http://schemas.openxmlformats.org/officeDocument/2006/relationships/hyperlink" Target="http://www.elconcecuente.cl/noticia/sociedad/femicidio-la-encontraron-sin-vida-atada-un-arbol" TargetMode="External"/><Relationship Id="rId150" Type="http://schemas.openxmlformats.org/officeDocument/2006/relationships/hyperlink" Target="https://www.publimetro.cl/cl/noticias/2017/09/09/pdi-investiga-la-muerte-una-mujer-27-anos-sector-cuz-cuz-ilapel.html" TargetMode="External"/><Relationship Id="rId171" Type="http://schemas.openxmlformats.org/officeDocument/2006/relationships/hyperlink" Target="http://puentealtoaldia.cl/2017/10/30/brutal-femicidio-protagonizo-sujeto-de-22-anos/" TargetMode="External"/><Relationship Id="rId192" Type="http://schemas.openxmlformats.org/officeDocument/2006/relationships/hyperlink" Target="http://www.cooperativa.cl/noticias/pais/policial/femicidio/lo-espejo-hombre-mato-de-un-balazo-a-su-pareja-en-plena-calle/2017-11-29/223224.html" TargetMode="External"/><Relationship Id="rId206" Type="http://schemas.openxmlformats.org/officeDocument/2006/relationships/hyperlink" Target="http://femicidioschile.blogspot.com/2016/03/femicidio-n-2.html" TargetMode="External"/><Relationship Id="rId227" Type="http://schemas.openxmlformats.org/officeDocument/2006/relationships/hyperlink" Target="http://www.24horas.cl/nacional/mujer-de-antofagasta-es-la-cuarta-victima-de-femicidio-en-el-ano-1949649" TargetMode="External"/><Relationship Id="rId248" Type="http://schemas.openxmlformats.org/officeDocument/2006/relationships/hyperlink" Target="http://www.eldinamo.cl/nacional/2016/03/08/femicidio-chile-septimo-femicidio/" TargetMode="External"/><Relationship Id="rId269" Type="http://schemas.openxmlformats.org/officeDocument/2006/relationships/hyperlink" Target="http://www.biobiochile.cl/noticias/nacional/region-del-bio-bio/2017/06/07/condenan-a-15-anos-de-carcel-a-hombre-que-asesino-a-su-pareja-con-martillo-en-quillon.shtml" TargetMode="External"/><Relationship Id="rId12" Type="http://schemas.openxmlformats.org/officeDocument/2006/relationships/hyperlink" Target="http://www.noticiasrcn.com/videos/colombiana-habria-sido-asesinada-su-expareja-tambien-colombiano-chile" TargetMode="External"/><Relationship Id="rId33" Type="http://schemas.openxmlformats.org/officeDocument/2006/relationships/hyperlink" Target="http://www.24horas.cl/nacional/mujer-muere-asesinada-por-ex-pareja-en-el-septimo-femicidio-de-2017-2328768" TargetMode="External"/><Relationship Id="rId108" Type="http://schemas.openxmlformats.org/officeDocument/2006/relationships/hyperlink" Target="http://www.emol.com/noticias/Nacional/2017/05/27/860263/Mujer-muere-quemada-tras-ser-golpeada-por-su-pareja-y-un-amigo-en-la-comuna-de-Freire.html" TargetMode="External"/><Relationship Id="rId129" Type="http://schemas.openxmlformats.org/officeDocument/2006/relationships/hyperlink" Target="http://www.24horas.cl/regiones/coquimbo/femicidio-en-las-companias--2463701" TargetMode="External"/><Relationship Id="rId280" Type="http://schemas.openxmlformats.org/officeDocument/2006/relationships/hyperlink" Target="https://www.facebook.com/permalink.php?story_fbid=142863802797302&amp;id=142772599473089" TargetMode="External"/><Relationship Id="rId315" Type="http://schemas.openxmlformats.org/officeDocument/2006/relationships/hyperlink" Target="http://emergenciaspuertomontt.cl/joven-fue-encontrada-sin-vida-en-talca-autor-del-femicidio-esta-detenido-y-confeso/" TargetMode="External"/><Relationship Id="rId336" Type="http://schemas.openxmlformats.org/officeDocument/2006/relationships/hyperlink" Target="http://www.soychile.cl/Santiago/Policial/2016/10/08/422547/Enigma-policial-funcionario-de-la-PDI-detenido-por-la-muerte-de-su-esposa.aspx" TargetMode="External"/><Relationship Id="rId357" Type="http://schemas.openxmlformats.org/officeDocument/2006/relationships/hyperlink" Target="https://resumen.cl/articulos/investigan-posible-femicidio-claudia-cruzat-laja" TargetMode="External"/><Relationship Id="rId54" Type="http://schemas.openxmlformats.org/officeDocument/2006/relationships/hyperlink" Target="http://www.radiovalparaiso.cl/2017/03/31/labocar-investiga-posible-femicidio-posterior-suicidio-del-autor-limache/" TargetMode="External"/><Relationship Id="rId75" Type="http://schemas.openxmlformats.org/officeDocument/2006/relationships/hyperlink" Target="http://www.radioportales.cl/contenido/hombre-mato-de-un-hachazo-a-su-esposa-en-tome/" TargetMode="External"/><Relationship Id="rId96" Type="http://schemas.openxmlformats.org/officeDocument/2006/relationships/hyperlink" Target="http://www.radioprofeta.cl/magyory-la-historia-de-la-joven-con-discapacidad-cognitiva-asesinada-por-su-pareja/" TargetMode="External"/><Relationship Id="rId140" Type="http://schemas.openxmlformats.org/officeDocument/2006/relationships/hyperlink" Target="http://www.vivimoslanoticia.cl/curico/hombre-asesina-a-ex-pareja-y-luego-se-quita-la-vida-en-lontue/" TargetMode="External"/><Relationship Id="rId161" Type="http://schemas.openxmlformats.org/officeDocument/2006/relationships/hyperlink" Target="http://www.elchelenko.cl/2017/10/encuentran-el-cuerpo-sin-vida-de-mujer.html" TargetMode="External"/><Relationship Id="rId182" Type="http://schemas.openxmlformats.org/officeDocument/2006/relationships/hyperlink" Target="http://www.adnradio.cl/noticias/nacional/nuevo-femicidio-en-chile-hombre-mato-a-su-pareja-con-un-arma-blanca/20171105/nota/3628750.aspx" TargetMode="External"/><Relationship Id="rId217" Type="http://schemas.openxmlformats.org/officeDocument/2006/relationships/hyperlink" Target="https://desdelatorre5.wordpress.com/2016/03/11/mujeres-en-chile-el-amor-las-asesina-y-el-orden-las-golpea/" TargetMode="External"/><Relationship Id="rId378" Type="http://schemas.openxmlformats.org/officeDocument/2006/relationships/hyperlink" Target="http://www.prodemu.cl/index.php/declaracion-publica-prodemu/" TargetMode="External"/><Relationship Id="rId6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238" Type="http://schemas.openxmlformats.org/officeDocument/2006/relationships/hyperlink" Target="http://www.chvnoticias.cl/ultima-mirada/femicidio-y-suicidio-quedo-descubierto-en-maipu/2016-03-06/010443.html" TargetMode="External"/><Relationship Id="rId259" Type="http://schemas.openxmlformats.org/officeDocument/2006/relationships/hyperlink" Target="https://www.youtube.com/watch?v=q9YO_asKkqw" TargetMode="External"/><Relationship Id="rId23" Type="http://schemas.openxmlformats.org/officeDocument/2006/relationships/hyperlink" Target="http://www.chvnoticias.cl/policial/nuevo-femicidio-mujer-de-26-anos-murio-por-impactos-de-bala/2017-02-09/002344.html" TargetMode="External"/><Relationship Id="rId119" Type="http://schemas.openxmlformats.org/officeDocument/2006/relationships/hyperlink" Target="http://www.biobiochile.cl/noticias/nacional/region-de-la-araucania/2017/06/07/investigan-a-hombre-que-habria-asesinado-y-quemado-a-mujer-con-sus-hijos-en-la-araucania.shtml" TargetMode="External"/><Relationship Id="rId270" Type="http://schemas.openxmlformats.org/officeDocument/2006/relationships/hyperlink" Target="http://www.biobiochile.cl/noticias/2016/03/26/nuevo-femicidio-en-quillon-hombre-mato-a-su-pareja-con-un-martillo.shtml" TargetMode="External"/><Relationship Id="rId291" Type="http://schemas.openxmlformats.org/officeDocument/2006/relationships/hyperlink" Target="http://www.biobiochile.cl/noticias/nacional/region-metropolitana/2017/07/12/imputada-por-asesinar-a-su-polola-en-santiago-realizo-reconstitucion-de-escena-en-libertad.shtml" TargetMode="External"/><Relationship Id="rId305" Type="http://schemas.openxmlformats.org/officeDocument/2006/relationships/hyperlink" Target="https://www.eldeber.com.bo/mundo/Estrangulo-a-su-pareja-en-Chile-e-intento-suicidarse-20160811-84449.html" TargetMode="External"/><Relationship Id="rId326" Type="http://schemas.openxmlformats.org/officeDocument/2006/relationships/hyperlink" Target="http://www.cooperativa.cl/noticias/pais/policial/femicidio/femicidio-se-registro-en-la-comuna-de-cerro-navia/2016-09-11/182102.html" TargetMode="External"/><Relationship Id="rId347" Type="http://schemas.openxmlformats.org/officeDocument/2006/relationships/hyperlink" Target="http://www.soychile.cl/Puerto-Montt/Policial/2016/10/13/423397/Murio-la-joven-colombiana-que-fue-apunalada-en-una-notaria-de-Puerto-Montt.aspx" TargetMode="External"/><Relationship Id="rId44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65" Type="http://schemas.openxmlformats.org/officeDocument/2006/relationships/hyperlink" Target="https://www.epicentrochile.com/2017/04/12/imputado-por-femicidio-en-chiloe-quedo-en-prision-preventiva/" TargetMode="External"/><Relationship Id="rId86" Type="http://schemas.openxmlformats.org/officeDocument/2006/relationships/hyperlink" Target="http://www.latercera.com/noticia/mujer-coquimbana-seria-la-decimocuarta-victima-feminicidio-este-ano/" TargetMode="External"/><Relationship Id="rId130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51" Type="http://schemas.openxmlformats.org/officeDocument/2006/relationships/hyperlink" Target="http://www.diarioeldia.cl/policial/confuso-incidente-deja-mujer-fallecida-adulto-mayor-herido-en-illapel" TargetMode="External"/><Relationship Id="rId368" Type="http://schemas.openxmlformats.org/officeDocument/2006/relationships/hyperlink" Target="https://www.elciudadano.cl/justicia/chile-hombre-golpeo-a-mujer-hasta-matarla-y-luego-quemo-su-cuerpo/11/09/" TargetMode="External"/><Relationship Id="rId172" Type="http://schemas.openxmlformats.org/officeDocument/2006/relationships/hyperlink" Target="http://www.eldesconcierto.cl/2017/08/31/ministra-claudia-pascual-sobre-mujer-de-vina-del-mar-que-alerto-su-femicidio-no-fue-posible-persistir-en-la-terapia/" TargetMode="External"/><Relationship Id="rId193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207" Type="http://schemas.openxmlformats.org/officeDocument/2006/relationships/hyperlink" Target="https://www.facebook.com/permalink.php?story_fbid=10153574810408192&amp;id=140943048191" TargetMode="External"/><Relationship Id="rId228" Type="http://schemas.openxmlformats.org/officeDocument/2006/relationships/hyperlink" Target="https://m.facebook.com/groups/957720797599017/?ref=group_header&amp;view=group" TargetMode="External"/><Relationship Id="rId249" Type="http://schemas.openxmlformats.org/officeDocument/2006/relationships/hyperlink" Target="https://www.publimetro.cl/cl/nacional/2016/03/08/victima-postrada-detienen-hombre-que-mato-pareja-talcahuano.html" TargetMode="External"/><Relationship Id="rId13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109" Type="http://schemas.openxmlformats.org/officeDocument/2006/relationships/hyperlink" Target="https://www.araucaniacuenta.cl/tag/josefina-allilef-huenchumil/" TargetMode="External"/><Relationship Id="rId260" Type="http://schemas.openxmlformats.org/officeDocument/2006/relationships/hyperlink" Target="https://maray.cl/?p=35046" TargetMode="External"/><Relationship Id="rId281" Type="http://schemas.openxmlformats.org/officeDocument/2006/relationships/hyperlink" Target="http://www.24horas.cl/nacional/femicidio-en-paine-hombre-dispara-con-una-escopeta-contra-su-pareja-2027212" TargetMode="External"/><Relationship Id="rId316" Type="http://schemas.openxmlformats.org/officeDocument/2006/relationships/hyperlink" Target="http://www.paraguay.com/internacionales/joven-de-18-anos-es-decimonovena-victima-de-feminicidio-en-chile-150223" TargetMode="External"/><Relationship Id="rId337" Type="http://schemas.openxmlformats.org/officeDocument/2006/relationships/hyperlink" Target="http://elurbanorural.cl/el-femicidio-es-la-forma-mas-extrema-de-violencia-contra-las-mujeres-y-toda-la-ciudadania-debe-comprometerse-en-su-erradicacion/" TargetMode="External"/><Relationship Id="rId34" Type="http://schemas.openxmlformats.org/officeDocument/2006/relationships/hyperlink" Target="http://www.diarioelcentro.cl/noticias/cronica/femicidio-en-molina-familia-de-victima-exige-un-castigo-ejemplar" TargetMode="External"/><Relationship Id="rId55" Type="http://schemas.openxmlformats.org/officeDocument/2006/relationships/hyperlink" Target="http://www.latercera.com/noticia/los-detalles-del-macabro-femicidio-antofagasta-segun-relato-del-fiscal/" TargetMode="External"/><Relationship Id="rId76" Type="http://schemas.openxmlformats.org/officeDocument/2006/relationships/hyperlink" Target="https://eldiario.news/nacional/hombre_mato_de_un_hachazo_a_su_esposa_en_tome" TargetMode="External"/><Relationship Id="rId97" Type="http://schemas.openxmlformats.org/officeDocument/2006/relationships/hyperlink" Target="http://www.diarioeldia.cl/pais/mujer-32-anos-es-decimoquinta-victima-feminicidio-en-chile-en-2017" TargetMode="External"/><Relationship Id="rId120" Type="http://schemas.openxmlformats.org/officeDocument/2006/relationships/hyperlink" Target="http://www.temucodiario.cl/sitio/2017/06/09/temuco-decretan-prision-preventiva-de-imputado-por-un-delito-de-femicidio-dos-homicidios-e-incendio-en-san-ramon/" TargetMode="External"/><Relationship Id="rId141" Type="http://schemas.openxmlformats.org/officeDocument/2006/relationships/hyperlink" Target="http://www.biobiochile.cl/noticias/nacional/region-de-aysen/2017/08/31/investigan-femicidio-en-aysen-joven-madre-fue-hallada-muerta-y-policia-busca-a-su-pareja.shtml" TargetMode="External"/><Relationship Id="rId358" Type="http://schemas.openxmlformats.org/officeDocument/2006/relationships/hyperlink" Target="http://www.biobiochile.cl/noticias/nacional/region-metropolitana/2016/10/25/investigan-presunto-femicidio-en-santiago-tras-encontrar-a-mujer-muerta-en-su-departamento.shtml" TargetMode="External"/><Relationship Id="rId379" Type="http://schemas.openxmlformats.org/officeDocument/2006/relationships/hyperlink" Target="http://diarioelnortino.cl/tag/mariela-bolvaran/" TargetMode="External"/><Relationship Id="rId7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62" Type="http://schemas.openxmlformats.org/officeDocument/2006/relationships/hyperlink" Target="http://www.eldivisadero.cl/noticia-45286" TargetMode="External"/><Relationship Id="rId183" Type="http://schemas.openxmlformats.org/officeDocument/2006/relationships/hyperlink" Target="http://www.panorama.com.ve/sucesos/Asesinaron-a-venezolana-en-un-apartamento-en-Santiago-de-Chile-20171105-0041.html" TargetMode="External"/><Relationship Id="rId218" Type="http://schemas.openxmlformats.org/officeDocument/2006/relationships/hyperlink" Target="https://portal.sernam.cl/img/upoloads/FEMICIDIOS%202016%20al%207_02(1).pdf" TargetMode="External"/><Relationship Id="rId239" Type="http://schemas.openxmlformats.org/officeDocument/2006/relationships/hyperlink" Target="http://www.cooperativa.cl/noticias/pais/policial/femicidio/hombre-asesino-a-su-pareja-con-un-bate-de-beisbol-en-maipu/2016-03-05/223257.html" TargetMode="External"/><Relationship Id="rId250" Type="http://schemas.openxmlformats.org/officeDocument/2006/relationships/hyperlink" Target="http://www.24horas.cl/nacional/mujer-muere-apunalada-en-el-cuello-por-su-conviviente-en-paredones-1954890" TargetMode="External"/><Relationship Id="rId271" Type="http://schemas.openxmlformats.org/officeDocument/2006/relationships/hyperlink" Target="http://www.emol.com/noticias/Nacional/2016/05/08/801727/Mujer-es-asesinada-por-su-pareja-y-se-convierte-en-13-victima-de-femicidio.html" TargetMode="External"/><Relationship Id="rId292" Type="http://schemas.openxmlformats.org/officeDocument/2006/relationships/hyperlink" Target="https://laprensaaustral.cl/titular1/murio-joven-madre-brutalmente-agredida-en-la-via-publica/" TargetMode="External"/><Relationship Id="rId306" Type="http://schemas.openxmlformats.org/officeDocument/2006/relationships/hyperlink" Target="http://www.mendozapost.com/nota/79532-murio-una-turista-en-un-accidente-vial-en-alvear/" TargetMode="External"/><Relationship Id="rId24" Type="http://schemas.openxmlformats.org/officeDocument/2006/relationships/hyperlink" Target="http://www.latercera.com/noticia/indagan-posible-femicidio-posterior-suicidio-la-pintana/" TargetMode="External"/><Relationship Id="rId45" Type="http://schemas.openxmlformats.org/officeDocument/2006/relationships/hyperlink" Target="http://www.latercera.com/noticia/nuevo-femicidio-sujeto-mata-pareja-luego-se-suicida-san-bernardo/" TargetMode="External"/><Relationship Id="rId66" Type="http://schemas.openxmlformats.org/officeDocument/2006/relationships/hyperlink" Target="http://www.paislobo.cl/2017/04/denuncias-de-violencia-intrafamiliar-en.html" TargetMode="External"/><Relationship Id="rId87" Type="http://schemas.openxmlformats.org/officeDocument/2006/relationships/hyperlink" Target="http://www.diarioeldia.cl/policial/victima-agresor-se-enfrentaron-en-ovalle-previo-femicidio-en-coquimbo" TargetMode="External"/><Relationship Id="rId110" Type="http://schemas.openxmlformats.org/officeDocument/2006/relationships/hyperlink" Target="http://www.latercera.com/noticia/hombre-asfixio-pareja-recoleta-quedo-prision-preventiva/" TargetMode="External"/><Relationship Id="rId131" Type="http://schemas.openxmlformats.org/officeDocument/2006/relationships/hyperlink" Target="http://www.minmujeryeg.cl/prensa/noticias-prensa/nacional-noticias/ministra-pascual-tomado-contacto-la-familia-le-daremos-apoyo-legal-sicologico-requieran/" TargetMode="External"/><Relationship Id="rId327" Type="http://schemas.openxmlformats.org/officeDocument/2006/relationships/hyperlink" Target="http://www.biobiochile.cl/noticias/nacional/region-metropolitana/2016/09/11/ministerio-de-la-mujer-condeno-nuevo-femicidio-registrado-el-sabado-en-cerro-navia.shtml" TargetMode="External"/><Relationship Id="rId348" Type="http://schemas.openxmlformats.org/officeDocument/2006/relationships/hyperlink" Target="https://www.facebook.com/PoderJudicialdeChile/photos/a.223728407723265.48016.223518014410971/1110790695683694/?type=3&amp;theater" TargetMode="External"/><Relationship Id="rId369" Type="http://schemas.openxmlformats.org/officeDocument/2006/relationships/hyperlink" Target="http://www.biobiochile.cl/noticias/nacional/region-de-la-araucania/2016/11/09/una-mujer-de-44-anos-fue-asesinada-a-golpes-en-lautaro-autor-confeso-quemo-el-cuerpo.shtml" TargetMode="External"/><Relationship Id="rId152" Type="http://schemas.openxmlformats.org/officeDocument/2006/relationships/hyperlink" Target="http://www.diarioeldia.cl/policial/hombre-acusado-dar-muerte-mujer-en-illapel-se-quito-vida" TargetMode="External"/><Relationship Id="rId173" Type="http://schemas.openxmlformats.org/officeDocument/2006/relationships/hyperlink" Target="http://www.cooperativa.cl/noticias/pais/policial/mujer-fue-encontrada-muerta-junto-a-su-hija-de-un-ano-en-vina-del-mar/2017-08-28/112209.html" TargetMode="External"/><Relationship Id="rId194" Type="http://schemas.openxmlformats.org/officeDocument/2006/relationships/hyperlink" Target="http://www.biobiochile.cl/noticias/nacional/region-de-los-rios/2017/12/08/carabineros-busca-a-persona-acusada-de-asesinar-a-hombre-en-los-rios.shtml" TargetMode="External"/><Relationship Id="rId208" Type="http://schemas.openxmlformats.org/officeDocument/2006/relationships/hyperlink" Target="https://www.araucaniacuenta.cl/tag/magdalena-del-rosario-carrillo-levipan/" TargetMode="External"/><Relationship Id="rId229" Type="http://schemas.openxmlformats.org/officeDocument/2006/relationships/hyperlink" Target="http://www.eltiempo.com/archivo/documento/CMS-16532087" TargetMode="External"/><Relationship Id="rId380" Type="http://schemas.openxmlformats.org/officeDocument/2006/relationships/hyperlink" Target="http://losandes.com.ar/article/dos-argentinas-murieron-en-femicidios-en-un-mes-en-chile" TargetMode="External"/><Relationship Id="rId240" Type="http://schemas.openxmlformats.org/officeDocument/2006/relationships/hyperlink" Target="https://www.diariolasamericas.com/america-latina/hombre-mata-su-mujer-bate-beisbol-6-feminicidio-2016-chile-n3669378" TargetMode="External"/><Relationship Id="rId261" Type="http://schemas.openxmlformats.org/officeDocument/2006/relationships/hyperlink" Target="http://www.lanueva.com/nota/2016-3-9-8-39-0-chile-2-hombres-mataron-a-sus-parejas-en-el-dia-de-la-mujer" TargetMode="External"/><Relationship Id="rId14" Type="http://schemas.openxmlformats.org/officeDocument/2006/relationships/hyperlink" Target="http://www.eldesconcierto.cl/2017/02/09/femicidio-en-san-bernardo-es-el-septimo-perpetrado-durante-los-primeros-meses-de-2017/" TargetMode="External"/><Relationship Id="rId35" Type="http://schemas.openxmlformats.org/officeDocument/2006/relationships/hyperlink" Target="http://www.eldiario.ec/lamarea/noticias-manta-ecuador/426224-una-joven-de-24-anos-es-la-nueva-victima-de-feminicidio-en-chile/" TargetMode="External"/><Relationship Id="rId56" Type="http://schemas.openxmlformats.org/officeDocument/2006/relationships/hyperlink" Target="http://www.latercera.com/noticia/encuentran-cadaver-mujer-al-interior-clinica-oftalmologica-antofagasta/" TargetMode="External"/><Relationship Id="rId77" Type="http://schemas.openxmlformats.org/officeDocument/2006/relationships/hyperlink" Target="https://reportechile.net/2017/04/hombre-mato-de-un-hachazo-a-su-esposa-en-tome/" TargetMode="External"/><Relationship Id="rId100" Type="http://schemas.openxmlformats.org/officeDocument/2006/relationships/hyperlink" Target="http://www.soychile.cl/Santiago/Policial/2017/05/14/463761/Mujer-de-32-anos-es-la-decimoquinta-victima-de-feminicidio-en-2017.aspx" TargetMode="External"/><Relationship Id="rId282" Type="http://schemas.openxmlformats.org/officeDocument/2006/relationships/hyperlink" Target="http://www.biobiochile.cl/noticias/2016/05/26/nuevo-femicidio-hombre-asesino-a-su-mujer-con-una-escopeta-y-se-quito-la-vida-en-paine.shtml" TargetMode="External"/><Relationship Id="rId317" Type="http://schemas.openxmlformats.org/officeDocument/2006/relationships/hyperlink" Target="http://www.diarioeldia.cl/pais/joven-18-anos-es-decimonovena-victima-femicidio-en-chile-en-2016" TargetMode="External"/><Relationship Id="rId338" Type="http://schemas.openxmlformats.org/officeDocument/2006/relationships/hyperlink" Target="http://www.ahoranoticias.cl/noticias/nacional/181402-nuevo-femicidio-en-colina-carabineros-detiene-al-presunto-autor-del-crimen.html" TargetMode="External"/><Relationship Id="rId359" Type="http://schemas.openxmlformats.org/officeDocument/2006/relationships/hyperlink" Target="http://www.24horas.cl/nacional/encuentran-cuerpo-sin-vida-de-una-mujer-al-interior-de-su-departamento-en-santiago-centro-2172543" TargetMode="External"/><Relationship Id="rId8" Type="http://schemas.openxmlformats.org/officeDocument/2006/relationships/hyperlink" Target="http://www.la-razon.com/sociedad/Chile-boliviana-primera-victima-feminicidio-2017_0_2644535562.html" TargetMode="External"/><Relationship Id="rId98" Type="http://schemas.openxmlformats.org/officeDocument/2006/relationships/hyperlink" Target="http://lanacion.cl/2017/05/14/nuevo-caso-de-femicidio-y-parricidio-en-san-francisco-de-mostazal/" TargetMode="External"/><Relationship Id="rId121" Type="http://schemas.openxmlformats.org/officeDocument/2006/relationships/hyperlink" Target="http://www.eldesconcierto.cl/2017/06/08/ya-van-35-femicidios-en-el-ano-mujer-y-su-hija-en-la-araucania-son-las-nuevas-victimas/" TargetMode="External"/><Relationship Id="rId142" Type="http://schemas.openxmlformats.org/officeDocument/2006/relationships/hyperlink" Target="http://www.eldivisadero.cl/noticia-44584" TargetMode="External"/><Relationship Id="rId163" Type="http://schemas.openxmlformats.org/officeDocument/2006/relationships/hyperlink" Target="http://www.biobiochile.cl/noticias/nacional/region-de-aysen/2017/10/23/aclaran-asesinato-de-joven-madre-y-posterior-suicido-de-autor-del-crimen-en-coyhaique.shtml" TargetMode="External"/><Relationship Id="rId184" Type="http://schemas.openxmlformats.org/officeDocument/2006/relationships/hyperlink" Target="http://segundoenfoque.com/venezolana-se-convirtio-la-quinta-victima-extranjera-feminicidio-chile-2017-11-06" TargetMode="External"/><Relationship Id="rId219" Type="http://schemas.openxmlformats.org/officeDocument/2006/relationships/hyperlink" Target="https://prensa.presidencia.cl/lfi-content/uploads/2016/03/mar082016brm-ceremonia-dia-de-la-mujer-final.pdf" TargetMode="External"/><Relationship Id="rId370" Type="http://schemas.openxmlformats.org/officeDocument/2006/relationships/hyperlink" Target="http://www.chvnoticias.cl/policial/mujer-de-54-anos-es-la-victima-numero-31-de-femicidio/2016-11-16/141558.html" TargetMode="External"/><Relationship Id="rId230" Type="http://schemas.openxmlformats.org/officeDocument/2006/relationships/hyperlink" Target="http://www.biobiochile.cl/noticias/2016/03/09/la-historia-del-descuartizamiento-de-joven-colombiana-y-como-la-pdi-descubrio-al-culpable.shtml" TargetMode="External"/><Relationship Id="rId251" Type="http://schemas.openxmlformats.org/officeDocument/2006/relationships/hyperlink" Target="http://www.emol.com/noticias/Nacional/2016/03/08/792030/Dos-femicidios-mancharon-la-celebracion-del-Dia-Internacional-de-la-Mujer-en-el-pais.html" TargetMode="External"/><Relationship Id="rId25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46" Type="http://schemas.openxmlformats.org/officeDocument/2006/relationships/hyperlink" Target="http://www.24horas.cl/nacional/integra-emite-declaracion-publica-tras-femicidio-de-funcionaria-de-jardin-infantil-2344076" TargetMode="External"/><Relationship Id="rId67" Type="http://schemas.openxmlformats.org/officeDocument/2006/relationships/hyperlink" Target="http://www.24horas.cl/nacional/femicidio-en-rancagua-joven-asesina-a-su-polola-y-luego-se-quita-la-vida-2352876" TargetMode="External"/><Relationship Id="rId272" Type="http://schemas.openxmlformats.org/officeDocument/2006/relationships/hyperlink" Target="http://www.adnradio.cl/noticias/nacional/nuevo-femicidio-hombre-apunalo-a-su-pareja-en-la-granja/20160508/nota/3127111.aspx" TargetMode="External"/><Relationship Id="rId293" Type="http://schemas.openxmlformats.org/officeDocument/2006/relationships/hyperlink" Target="http://www.biobiochile.cl/noticias/nacional/policial/2016/06/06/buscan-a-autor-de-brutal-muerte-de-joven-madre-en-punta-arenas.shtml" TargetMode="External"/><Relationship Id="rId307" Type="http://schemas.openxmlformats.org/officeDocument/2006/relationships/hyperlink" Target="https://www.diariouno.com.ar/policiales/crimen-una-mendocina-chile-la-mataron-un-panuelo-20160814-n1208443.html" TargetMode="External"/><Relationship Id="rId328" Type="http://schemas.openxmlformats.org/officeDocument/2006/relationships/hyperlink" Target="http://www.soychile.cl/Valparaiso/Policial/2016/09/21/419176/Detienen-a-presunto-responsable-de-la-muerte-de-una-mujer-en-Villa-Alemana.aspx" TargetMode="External"/><Relationship Id="rId349" Type="http://schemas.openxmlformats.org/officeDocument/2006/relationships/hyperlink" Target="http://www.minmujeryeg.cl/sernam-regional/region_lagos/sermaneg-logra-cadena-perpetua-autor-femicidio-ocurrido-2016/" TargetMode="External"/><Relationship Id="rId88" Type="http://schemas.openxmlformats.org/officeDocument/2006/relationships/hyperlink" Target="http://www.diarioeldia.cl/policial/coquimbo/asesinada-punaladas-muere-mujer-manos-su-pareja-en-tierras-blancas" TargetMode="External"/><Relationship Id="rId111" Type="http://schemas.openxmlformats.org/officeDocument/2006/relationships/hyperlink" Target="http://www.latercera.com/noticia/femicidio-6/" TargetMode="External"/><Relationship Id="rId132" Type="http://schemas.openxmlformats.org/officeDocument/2006/relationships/hyperlink" Target="https://www.publimetro.cl/cl/noticias/2017/08/10/femicidio-santiago-detienen-hombre-ataco-arma-blanca-pareja.html" TargetMode="External"/><Relationship Id="rId153" Type="http://schemas.openxmlformats.org/officeDocument/2006/relationships/hyperlink" Target="http://www.cooperativa.cl/noticias/pais/policial/pdi-investiga-homicidio-de-mujer-en-illapel/2017-09-09/214838.html" TargetMode="External"/><Relationship Id="rId174" Type="http://schemas.openxmlformats.org/officeDocument/2006/relationships/hyperlink" Target="http://www.cooperativa.cl/noticias/pais/policial/sml-golpe-en-el-rostro-provoco-muerte-a-joven-madre-de-vina-del-mar/2017-08-29/224416.html" TargetMode="External"/><Relationship Id="rId195" Type="http://schemas.openxmlformats.org/officeDocument/2006/relationships/hyperlink" Target="http://tvcanal5.cl/liquine-sujeto-asesino-a-su-ex-pareja-y-al-conviviente-de-la-mujer-y-luego-escapo-hacia-la-frontera/" TargetMode="External"/><Relationship Id="rId209" Type="http://schemas.openxmlformats.org/officeDocument/2006/relationships/hyperlink" Target="http://www.elciudadano.cl/justicia/femicidio-condenan-a-20-anos-de-presidio-efectivo-a-hombre-que-mato-a-su-conviviente/04/07/" TargetMode="External"/><Relationship Id="rId360" Type="http://schemas.openxmlformats.org/officeDocument/2006/relationships/hyperlink" Target="http://www.chvnoticias.cl/policial/mujer-fue-asesinada-en-estacion-central/2016-10-24/225057.html" TargetMode="External"/><Relationship Id="rId381" Type="http://schemas.openxmlformats.org/officeDocument/2006/relationships/hyperlink" Target="http://www.biobiochile.cl/noticias/nacional/region-metropolitana/2016/11/22/nuevo-femicidio-en-nunoa-hombre-de-85-anos-acuchillo-a-su-mujer-de-78.shtml" TargetMode="External"/><Relationship Id="rId220" Type="http://schemas.openxmlformats.org/officeDocument/2006/relationships/hyperlink" Target="http://www.biobiochile.cl/noticias/2016/02/28/ppd-despide-en-lago-ranco-a-militantes-involucrados-en-presunto-femicidio.shtml" TargetMode="External"/><Relationship Id="rId241" Type="http://schemas.openxmlformats.org/officeDocument/2006/relationships/hyperlink" Target="https://www.elnuevodia.com/noticias/mundo/nota/hombremataasuparejaabatazosenchile-2170719/" TargetMode="External"/><Relationship Id="rId15" Type="http://schemas.openxmlformats.org/officeDocument/2006/relationships/hyperlink" Target="https://www.araucaniacuenta.cl/ministra-s-perez-condeno-energicamente-el-femicidio-de-carmen-vazquez-de-la-comuna-de-san-javier/" TargetMode="External"/><Relationship Id="rId36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57" Type="http://schemas.openxmlformats.org/officeDocument/2006/relationships/hyperlink" Target="http://www.diarioantofagasta.cl/regional/antofagasta/74368/la-impactante-confesion-del-imputado-femicidio-antofagasta/" TargetMode="External"/><Relationship Id="rId262" Type="http://schemas.openxmlformats.org/officeDocument/2006/relationships/hyperlink" Target="http://www.biobiochile.cl/noticias/2016/03/09/sename-ayudara-a-nino-que-presencio-femicidio-en-renaico.shtml" TargetMode="External"/><Relationship Id="rId283" Type="http://schemas.openxmlformats.org/officeDocument/2006/relationships/hyperlink" Target="http://www.chvnoticias.cl/policial/femicidio-y-posterior-suicidio-se-registro-en-paine/2016-05-27/015514.html" TargetMode="External"/><Relationship Id="rId318" Type="http://schemas.openxmlformats.org/officeDocument/2006/relationships/hyperlink" Target="http://www.wradio.com.co/noticias/internacional/joven-de-18-anos-es-decimonovena-victima-de-feminicidio-en-chile-en-2016/20160902/nota/3234836.aspx" TargetMode="External"/><Relationship Id="rId339" Type="http://schemas.openxmlformats.org/officeDocument/2006/relationships/hyperlink" Target="http://www.emol.com/noticias/Nacional/2016/10/09/825715/Detienen-a-hombre-acusado-de-matar-a-su-ex-pareja-tras-discusion-por-la-tarjeta-del-banco.html" TargetMode="External"/><Relationship Id="rId78" Type="http://schemas.openxmlformats.org/officeDocument/2006/relationships/hyperlink" Target="http://www.latercera.com/noticia/indagan-nuevo-femicidio-en-rancagua/" TargetMode="External"/><Relationship Id="rId99" Type="http://schemas.openxmlformats.org/officeDocument/2006/relationships/hyperlink" Target="http://www.24horas.cl/nacional/hombre-mata-a-su-esposa-e-hijo-en-san-francisco-de-mostazal-2383055" TargetMode="External"/><Relationship Id="rId101" Type="http://schemas.openxmlformats.org/officeDocument/2006/relationships/hyperlink" Target="http://www.emol.com/noticias/Nacional/2017/05/14/858282/Detiene-a-hombre-de-33-anos-acusado-de-matar-a-su-pareja-e-hijo-en-San-Francisco-de-Mostazal.html" TargetMode="External"/><Relationship Id="rId122" Type="http://schemas.openxmlformats.org/officeDocument/2006/relationships/hyperlink" Target="https://www.cooperativa.cl/noticias/pais/policial/femicidio/carabineros-detuvo-a-presunto-autor-de-femicidio-en-san-bernardo/2017-06-13/215823.html" TargetMode="External"/><Relationship Id="rId143" Type="http://schemas.openxmlformats.org/officeDocument/2006/relationships/hyperlink" Target="https://cl.iurex.com/noticia/femicidio-en-cochrane-este-domingo-formalizan-a-imputado/1385727" TargetMode="External"/><Relationship Id="rId164" Type="http://schemas.openxmlformats.org/officeDocument/2006/relationships/hyperlink" Target="http://www.radioestrelladelmar.cl/?p=13768" TargetMode="External"/><Relationship Id="rId185" Type="http://schemas.openxmlformats.org/officeDocument/2006/relationships/hyperlink" Target="http://www.ntn24.com/noticia/mujer-venezolana-muere-asesinada-de-13-punaladas-por-su-pareja-en-chile-157175" TargetMode="External"/><Relationship Id="rId350" Type="http://schemas.openxmlformats.org/officeDocument/2006/relationships/hyperlink" Target="http://www.soychile.cl/Puerto-Montt/Policial/2016/10/17/424104/Otro-femicidio-en-Puerto-Montt-hombre-apunalo-a-su-esposa-delante-de-sus-hijas.aspx" TargetMode="External"/><Relationship Id="rId371" Type="http://schemas.openxmlformats.org/officeDocument/2006/relationships/hyperlink" Target="http://www.24horas.cl/nacional/hombre-mato-a-su-esposa-en-coronel-y-dejo-carta-explicando-los-motivos-2194305" TargetMode="External"/><Relationship Id="rId9" Type="http://schemas.openxmlformats.org/officeDocument/2006/relationships/hyperlink" Target="https://www.noticiasfides.com/nacional/seguridad/la-primera-victima-de-feminicidio-en-chile-en-lo-que-va-del-ano-es-una-boliviana-374886" TargetMode="External"/><Relationship Id="rId210" Type="http://schemas.openxmlformats.org/officeDocument/2006/relationships/hyperlink" Target="http://www.theclinic.cl/2016/03/06/sexto-femicidio-del-ano-hombre-asesino-a-su-esposa-a-golpes-y-luego-se-suicido-en-maipu/" TargetMode="External"/><Relationship Id="rId26" Type="http://schemas.openxmlformats.org/officeDocument/2006/relationships/hyperlink" Target="http://www.adnradio.cl/noticias/nacional/investigan-posible-femicidio-en-la-pintana/20170215/nota/3384238.aspx" TargetMode="External"/><Relationship Id="rId231" Type="http://schemas.openxmlformats.org/officeDocument/2006/relationships/hyperlink" Target="http://www.biobiochile.cl/noticias/nacional/region-metropolitana/2017/07/19/declaran-culpable-a-hombre-que-mato-y-descuartizo-a-su-pareja-colombiana-en-santiago.shtml" TargetMode="External"/><Relationship Id="rId252" Type="http://schemas.openxmlformats.org/officeDocument/2006/relationships/hyperlink" Target="http://www.chvnoticias.cl/nacional/mujer-asesinada-por-pareja-lo-habia-denunciado-en-la-manana/2016-03-09/140111.html" TargetMode="External"/><Relationship Id="rId273" Type="http://schemas.openxmlformats.org/officeDocument/2006/relationships/hyperlink" Target="http://www.ahoranoticias.cl/noticias/nacional/172027-nuevo-feminicidio-hombre-apunalo-a-su-mujer-en-la-granja.html" TargetMode="External"/><Relationship Id="rId294" Type="http://schemas.openxmlformats.org/officeDocument/2006/relationships/hyperlink" Target="http://elpinguino.com/noticia/2016/06/04/joven-madre-que-fue-brutalmente-golpeada-dejo-de-existir-en-hora-de-esta-tarde" TargetMode="External"/><Relationship Id="rId308" Type="http://schemas.openxmlformats.org/officeDocument/2006/relationships/hyperlink" Target="http://losandes.com.ar/article/hallaron-estrangulada-a-una-mendocina-en-su-casa-de-chile" TargetMode="External"/><Relationship Id="rId329" Type="http://schemas.openxmlformats.org/officeDocument/2006/relationships/hyperlink" Target="http://www.biobiochile.cl/noticias/nacional/region-de-valparaiso/2016/09/21/detienen-a-sospechoso-de-crimen-de-mujer-en-villa-alemana.shtml" TargetMode="External"/><Relationship Id="rId47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68" Type="http://schemas.openxmlformats.org/officeDocument/2006/relationships/hyperlink" Target="http://redohiggins.com/femicidio-joven-de-29-anos-mato-a-su-pareja-y-posteriormente-se-suicido_1491934845Rnfx4.html" TargetMode="External"/><Relationship Id="rId89" Type="http://schemas.openxmlformats.org/officeDocument/2006/relationships/hyperlink" Target="http://www.eluniversal.com.mx/articulo/mundo/2017/05/6/feminicidio-en-chile-mujer-de-60-anos-es-apunalada-por-su-pareja" TargetMode="External"/><Relationship Id="rId112" Type="http://schemas.openxmlformats.org/officeDocument/2006/relationships/hyperlink" Target="https://elcomercio.pe/peru/ancash/justicia-chilena-dicta-prision-preventiva-asesino-chimbotana-432930" TargetMode="External"/><Relationship Id="rId133" Type="http://schemas.openxmlformats.org/officeDocument/2006/relationships/hyperlink" Target="http://www.emol.com/noticias/Nacional/2017/08/11/870638/Carabineros-detuvo-a-un-hombre-por-nuevo-caso-de-femicidio-en-Santiago-Centro.html" TargetMode="External"/><Relationship Id="rId154" Type="http://schemas.openxmlformats.org/officeDocument/2006/relationships/hyperlink" Target="http://www.soychile.cl/Copiapo/Policial/2017/09/09/486509/Mataron-con-una-escopeta-a-mujer-de-27-anos-en-Illapel-tambien-hirieron-a-su-abuelo.aspx" TargetMode="External"/><Relationship Id="rId175" Type="http://schemas.openxmlformats.org/officeDocument/2006/relationships/hyperlink" Target="http://www.soychile.cl/Valparaiso/Sociedad/2017/08/29/484361/Mujer-asesinada-en-Vina-habia-interpuesto-tres-denuncias-por-violencia-intrafamiliar.aspx" TargetMode="External"/><Relationship Id="rId340" Type="http://schemas.openxmlformats.org/officeDocument/2006/relationships/hyperlink" Target="http://www.t13.cl/noticia/nacional/colina-hombre-asesina-su-pareja-porque-no-quiso-entregarle-su-tarjeta-credito" TargetMode="External"/><Relationship Id="rId361" Type="http://schemas.openxmlformats.org/officeDocument/2006/relationships/hyperlink" Target="http://www.biobiochile.cl/noticias/nacional/region-metropolitana/2016/11/01/encuentran-muerta-a-joven-desaparecida-hace-nueve-dias-en-la-comuna-de-el-monte.shtml" TargetMode="External"/><Relationship Id="rId196" Type="http://schemas.openxmlformats.org/officeDocument/2006/relationships/hyperlink" Target="http://www.emol.com/noticias/Nacional/2017/12/09/886636/Hombre-se-dio-a-la-fuga-tras-asesinar-a-su-ex-pareja-y-a-conviviente-en-Los-Rios.html" TargetMode="External"/><Relationship Id="rId200" Type="http://schemas.openxmlformats.org/officeDocument/2006/relationships/hyperlink" Target="http://www.soychile.cl/Santiago/Policial/2016/01/02/367535/Crimen-de-mujer-de-37-anos-se-convierte-en-el-primer-femicidio-de-2016.aspx" TargetMode="External"/><Relationship Id="rId16" Type="http://schemas.openxmlformats.org/officeDocument/2006/relationships/hyperlink" Target="http://www.diarioelcentro.cl/noticias/policial/primer-femicidio-del-ano-se-registro-ayer-en-carrizal" TargetMode="External"/><Relationship Id="rId221" Type="http://schemas.openxmlformats.org/officeDocument/2006/relationships/hyperlink" Target="https://www.debate.com.mx/mundo/Hombre-mata-a-su-mujer-con-bate-de-beisbol-20160306-0037.html" TargetMode="External"/><Relationship Id="rId242" Type="http://schemas.openxmlformats.org/officeDocument/2006/relationships/hyperlink" Target="http://rpp.pe/mundo/chile/chile-hombre-mata-a-su-pareja-con-un-bate-de-beisbol-noticia-943739" TargetMode="External"/><Relationship Id="rId263" Type="http://schemas.openxmlformats.org/officeDocument/2006/relationships/hyperlink" Target="http://www.elandino.cl/2016/03/10/dramatico-femicidio-y-suicidio-en-predio-agricola-de-rinconada-cuidador-mato-a-su-esposa-y-posteriormente-se-quito-la-vida-con-la-misma-arma-de-fuego-una-escopeta-calibre-12/" TargetMode="External"/><Relationship Id="rId284" Type="http://schemas.openxmlformats.org/officeDocument/2006/relationships/hyperlink" Target="http://lanoticiaonline.cl/victima-de-femicidio-en-paine-era-de-rancagua/" TargetMode="External"/><Relationship Id="rId319" Type="http://schemas.openxmlformats.org/officeDocument/2006/relationships/hyperlink" Target="http://www.emol.com/noticias/Nacional/2016/09/04/820398/Mujer-muere-a-manos-de-su-ex-pareja-que-tenia-antecedentes-por-violencia.html" TargetMode="External"/><Relationship Id="rId37" Type="http://schemas.openxmlformats.org/officeDocument/2006/relationships/hyperlink" Target="http://www.diarioeldia.cl/pais/nuevo-caso-femicidio-hija-menor-encuentra-muertos-sus-padres" TargetMode="External"/><Relationship Id="rId58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79" Type="http://schemas.openxmlformats.org/officeDocument/2006/relationships/hyperlink" Target="http://www.minmujeryeg.cl/prensa/noticias-prensa/nacional-noticias/ministra-pascual-femicidio-rancagua-las-victimas-femicidios-pais-reflejo-la-violencia-machista-todos-todas-debemos-erradicar/" TargetMode="External"/><Relationship Id="rId102" Type="http://schemas.openxmlformats.org/officeDocument/2006/relationships/hyperlink" Target="http://www.chvnoticias.cl/policial/mato-a-su-mujer-embarazada-y-a-su-hijo-adolescente-en-feroz-parricidio/2017-05-14/170722.html" TargetMode="External"/><Relationship Id="rId123" Type="http://schemas.openxmlformats.org/officeDocument/2006/relationships/hyperlink" Target="http://www.chvnoticias.cl/policial/detuvieron-a-responsable-del-homicidio-a-una-mujer-en-san-bernardo/2017-06-14/065502.html" TargetMode="External"/><Relationship Id="rId144" Type="http://schemas.openxmlformats.org/officeDocument/2006/relationships/hyperlink" Target="http://www.biobiochile.cl/noticias/nacional/region-metropolitana/2017/09/07/brigada-de-homicidios-confirma-que-cuerpo-encontrado-en-melipilla-corresponde-a-una-mujer.shtml" TargetMode="External"/><Relationship Id="rId330" Type="http://schemas.openxmlformats.org/officeDocument/2006/relationships/hyperlink" Target="http://www.chvnoticias.cl/policial/investigan-causas-de-homicidio-a-una-mujer-en-villa-alemana/2016-09-19/233214.html" TargetMode="External"/><Relationship Id="rId90" Type="http://schemas.openxmlformats.org/officeDocument/2006/relationships/hyperlink" Target="http://lanacion.cl/2017/05/06/mujer-de-60-anos-se-convirtio-en-nueva-victima-de-femicidio/" TargetMode="External"/><Relationship Id="rId165" Type="http://schemas.openxmlformats.org/officeDocument/2006/relationships/hyperlink" Target="https://laprensaaustral.cl/nacional/asesinato-y-suicidio-de-una-pareja-estremece-a-comunidad-de-coyhaique/" TargetMode="External"/><Relationship Id="rId186" Type="http://schemas.openxmlformats.org/officeDocument/2006/relationships/hyperlink" Target="http://www.biobiochile.cl/noticias/nacional/region-de-los-rios/2017/11/21/formalizan-a-hombre-acusado-de-femicidio-en-valdivia-arriesga-hasta-15-anos-de-carcel.shtml" TargetMode="External"/><Relationship Id="rId351" Type="http://schemas.openxmlformats.org/officeDocument/2006/relationships/hyperlink" Target="http://www.cooperativa.cl/noticias/pais/policial/femicidio/segundo-femicidio-en-menos-de-una-semana-enluta-a-puerto-montt/2016-10-18/003322.html" TargetMode="External"/><Relationship Id="rId372" Type="http://schemas.openxmlformats.org/officeDocument/2006/relationships/hyperlink" Target="http://www.cooperativa.cl/noticias/pais/policial/femicidio/nuevo-femicidio-hombre-confeso-haber-asesinado-a-su-esposa-en-coronel/2016-11-15/173927.html" TargetMode="External"/><Relationship Id="rId211" Type="http://schemas.openxmlformats.org/officeDocument/2006/relationships/hyperlink" Target="http://portal.sernam.cl/img/upoloads/FEMICIDIOS%202016%20al%2010%20de%20enero.pdf" TargetMode="External"/><Relationship Id="rId232" Type="http://schemas.openxmlformats.org/officeDocument/2006/relationships/hyperlink" Target="http://www.semana.com/nacion/articulo/joven-colombiana-fue-descuartizada-en-chile/464651" TargetMode="External"/><Relationship Id="rId253" Type="http://schemas.openxmlformats.org/officeDocument/2006/relationships/hyperlink" Target="http://www.biobiochile.cl/noticias/2016/03/12/en-prision-preventiva-queda-presunto-autor-de-femicidio-en-paredones.shtml" TargetMode="External"/><Relationship Id="rId274" Type="http://schemas.openxmlformats.org/officeDocument/2006/relationships/hyperlink" Target="http://www.chvnoticias.cl/policial/nuevo-femicidio-pareja-asesino-a-mujer-en-la-granja/2016-05-08/153502.html" TargetMode="External"/><Relationship Id="rId295" Type="http://schemas.openxmlformats.org/officeDocument/2006/relationships/hyperlink" Target="http://www.elpinguino.com/noticia/2016/06/01/joven-madre-fue-golpeada-brutalmente--y-se-debate-entre-la-vida-y-la-muerte" TargetMode="External"/><Relationship Id="rId309" Type="http://schemas.openxmlformats.org/officeDocument/2006/relationships/hyperlink" Target="http://www.paraguay.com/internacionales/argentina-de-30-anos-muere-estrangulada-por-su-pareja-en-chile-149043" TargetMode="External"/><Relationship Id="rId27" Type="http://schemas.openxmlformats.org/officeDocument/2006/relationships/hyperlink" Target="http://www.24horas.cl/nacional/la-celebracion-previa-a-la-muerte-de-joven-pareja-en-la-pintana-2301666" TargetMode="External"/><Relationship Id="rId48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69" Type="http://schemas.openxmlformats.org/officeDocument/2006/relationships/hyperlink" Target="http://www.newsjs.com/cl/femicidio-en-rancagua-joven-asesina-a-su-polola-y-luego-se-quita-la-vida/dpKmJSdh-V7-ioMJtB5jxz3BA5HJM/" TargetMode="External"/><Relationship Id="rId113" Type="http://schemas.openxmlformats.org/officeDocument/2006/relationships/hyperlink" Target="http://diariodechimbote.com/noticias-anteriores/94851-chimotana-es-asesinada-por-su-esposo-en-chile" TargetMode="External"/><Relationship Id="rId134" Type="http://schemas.openxmlformats.org/officeDocument/2006/relationships/hyperlink" Target="http://www.soychile.cl/Santiago/Policial/2017/08/10/481009/Carabineros-sorprendio-a-hombre-cometiendo-un-femicidio-en-Santiago.aspx" TargetMode="External"/><Relationship Id="rId320" Type="http://schemas.openxmlformats.org/officeDocument/2006/relationships/hyperlink" Target="http://www.cooperativa.cl/noticias/pais/policial/femicidio/en-prision-preventiva-quedo-sospechoso-del-femicidio-de-su-pareja-en/2016-09-04/141439.html" TargetMode="External"/><Relationship Id="rId80" Type="http://schemas.openxmlformats.org/officeDocument/2006/relationships/hyperlink" Target="https://www.cooperativa.cl/noticias/pais/policial/pdi-busca-a-ex-pareja-de-joven-que-aparecio-colgada-en-canete-es/2017-05-02/122658.html" TargetMode="External"/><Relationship Id="rId155" Type="http://schemas.openxmlformats.org/officeDocument/2006/relationships/hyperlink" Target="http://www.24horas.cl/nacional/sujeto-golpeo-con-utensilios-de-cocina-a-ex-pareja-tras-asesinarla-en-nunoa-2522903" TargetMode="External"/><Relationship Id="rId176" Type="http://schemas.openxmlformats.org/officeDocument/2006/relationships/hyperlink" Target="http://www.chvnoticias.cl/policial/autor-de-femicidio-en-san-bernardo-confeso-el-crimen-tras-su-detencion/2017-11-11/162104.html" TargetMode="External"/><Relationship Id="rId197" Type="http://schemas.openxmlformats.org/officeDocument/2006/relationships/hyperlink" Target="http://www.voceroregional.cl/2017/12/09/ministra-pascual-condeno-femicidio-ocurrido-en-panguipulli/" TargetMode="External"/><Relationship Id="rId341" Type="http://schemas.openxmlformats.org/officeDocument/2006/relationships/hyperlink" Target="https://www.pressreader.com/chile/la-cuarta/20161010/281706909193143" TargetMode="External"/><Relationship Id="rId362" Type="http://schemas.openxmlformats.org/officeDocument/2006/relationships/hyperlink" Target="http://www.emol.com/noticias/Nacional/2016/11/02/829256/Sospechoso-por-crimen-de-mujer-desparecida-en-El-Paico-pasara-a-control-de-detencion-esta-manana.html" TargetMode="External"/><Relationship Id="rId201" Type="http://schemas.openxmlformats.org/officeDocument/2006/relationships/hyperlink" Target="http://www.theclinic.cl/2016/01/02/crimen-de-mujer-de-37-anos-se-convierte-primer-femicidio-de-2016/" TargetMode="External"/><Relationship Id="rId222" Type="http://schemas.openxmlformats.org/officeDocument/2006/relationships/hyperlink" Target="http://www.soychile.cl/Antofagasta/Policial/2016/03/03/378759/Una-mujer-de-31-anos-es-la-victima-del-primer-femicidio-de-2016-en-Antofagasta.aspx" TargetMode="External"/><Relationship Id="rId243" Type="http://schemas.openxmlformats.org/officeDocument/2006/relationships/hyperlink" Target="http://www.minmujeryeg.cl/prensa/noticias-prensa/noticias-regionales/imputado-femicidio-magaly-carriel-volvera-prision-tras-apelacion-suspension-procedimiento/" TargetMode="External"/><Relationship Id="rId264" Type="http://schemas.openxmlformats.org/officeDocument/2006/relationships/hyperlink" Target="http://soyaconcagua.cl/2016/03/11/femicidio-en-rinconada-eleva-a-11-el-numero-de-victimas-en-lo-que-va-del-ano-en-el-pais/" TargetMode="External"/><Relationship Id="rId285" Type="http://schemas.openxmlformats.org/officeDocument/2006/relationships/hyperlink" Target="http://www.pressreader.com/chile/la-tercera/20160528/281878707621221" TargetMode="External"/><Relationship Id="rId17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s://www.efe.com/efe/america/sociedad/una-mujer-de-48-anos-es-la-decima-victima-feminicidio-en-chile-2017/20000013-3224955" TargetMode="External"/><Relationship Id="rId59" Type="http://schemas.openxmlformats.org/officeDocument/2006/relationships/hyperlink" Target="http://www.cooperativa.cl/noticias/pais/policial/femicidio/antofagasta-joven-madre-fue-asesinada-por-su-ex-marido/2017-04-05/123641.html" TargetMode="External"/><Relationship Id="rId103" Type="http://schemas.openxmlformats.org/officeDocument/2006/relationships/hyperlink" Target="http://www.latercera.com/noticia/brutal-femicidio-remecio-freire/" TargetMode="External"/><Relationship Id="rId124" Type="http://schemas.openxmlformats.org/officeDocument/2006/relationships/hyperlink" Target="http://www.diarioeldia.cl/policial/presunto-autor-femicidio-ocurrido-en-companias-pasara-control-detencion" TargetMode="External"/><Relationship Id="rId310" Type="http://schemas.openxmlformats.org/officeDocument/2006/relationships/hyperlink" Target="http://www.sitioandino.com.ar/n/207751/" TargetMode="External"/><Relationship Id="rId70" Type="http://schemas.openxmlformats.org/officeDocument/2006/relationships/hyperlink" Target="http://lanoticiaonline.cl/primer-femicidio-del-ano-en-la-sexta-region/" TargetMode="External"/><Relationship Id="rId91" Type="http://schemas.openxmlformats.org/officeDocument/2006/relationships/hyperlink" Target="http://www.diariolaregion.cl/portal/?p=46584" TargetMode="External"/><Relationship Id="rId145" Type="http://schemas.openxmlformats.org/officeDocument/2006/relationships/hyperlink" Target="http://www.lasnoticiasdemalleco.cl/2017/09/12/en-angol-detienen-al-presunto-responsable-del-femicidio-de-una-mujer-hallada-en-el-rio-maipo-en-melipilla/" TargetMode="External"/><Relationship Id="rId166" Type="http://schemas.openxmlformats.org/officeDocument/2006/relationships/hyperlink" Target="http://tvcanal5.cl/policial/" TargetMode="External"/><Relationship Id="rId187" Type="http://schemas.openxmlformats.org/officeDocument/2006/relationships/hyperlink" Target="http://www.biobiochile.cl/noticias/nacional/region-de-los-rios/2017/11/19/femicidio-en-los-rios-hombre-corto-3-veces-el-cuello-de-su-pareja-en-sector-los-dorsales.shtml" TargetMode="External"/><Relationship Id="rId331" Type="http://schemas.openxmlformats.org/officeDocument/2006/relationships/hyperlink" Target="https://m.facebook.com/niunamenoschile/posts/2121535071406628" TargetMode="External"/><Relationship Id="rId352" Type="http://schemas.openxmlformats.org/officeDocument/2006/relationships/hyperlink" Target="http://www.emol.com/noticias/Nacional/2016/10/17/826864/Nuevo-femicicio-en-Puerto-Montt-Mujer-murio-tras-ser-atacada-presuntamente-por-su-pareja.html" TargetMode="External"/><Relationship Id="rId373" Type="http://schemas.openxmlformats.org/officeDocument/2006/relationships/hyperlink" Target="https://www.elespectador.com/noticias/elmundo/mujer-de-54-anos-victima-numero-31-de-feminicidio-chile-articulo-665714" TargetMode="External"/><Relationship Id="rId1" Type="http://schemas.openxmlformats.org/officeDocument/2006/relationships/hyperlink" Target="http://elproa.cl/web/detallenoticia.asp?id=21793" TargetMode="External"/><Relationship Id="rId212" Type="http://schemas.openxmlformats.org/officeDocument/2006/relationships/hyperlink" Target="http://www.biobiochile.cl/noticias/nacional/region-de-la-araucania/2017/03/31/hombre-es-condenado-por-matar-a-su-pareja-con-un-cuchillo-en-la-localidad-de-queule.shtml" TargetMode="External"/><Relationship Id="rId233" Type="http://schemas.openxmlformats.org/officeDocument/2006/relationships/hyperlink" Target="http://www.elpais.com.co/judicial/14-anos-de-carcel-para-joven-que-asesino-a-vallecaucana-en-santiago-de-chile.html" TargetMode="External"/><Relationship Id="rId254" Type="http://schemas.openxmlformats.org/officeDocument/2006/relationships/hyperlink" Target="http://eltipografo.cl/2016/03/mujer-de-paredones-se-convirtio-esta-tarde-en-la-octava-victima-de-femicidio-en-el-ano-en-el-pais/" TargetMode="External"/><Relationship Id="rId28" Type="http://schemas.openxmlformats.org/officeDocument/2006/relationships/hyperlink" Target="https://eldiario.news/nacional/indagan_posible_femicidio_y_posterior_suicidio_en_la_pintana" TargetMode="External"/><Relationship Id="rId49" Type="http://schemas.openxmlformats.org/officeDocument/2006/relationships/hyperlink" Target="http://www.diariocronica.cl/?p=9134" TargetMode="External"/><Relationship Id="rId114" Type="http://schemas.openxmlformats.org/officeDocument/2006/relationships/hyperlink" Target="http://rpp.pe/mundo/chile/feminicidio-una-peruana-de-40-anos-fue-asesinada-por-su-pareja-en-chile-noticia-1055540" TargetMode="External"/><Relationship Id="rId275" Type="http://schemas.openxmlformats.org/officeDocument/2006/relationships/hyperlink" Target="http://www.soychile.cl/Santiago/Policial/2016/05/13/393152/PDI-detiene-a-presunto-autor-de-femicidio-en-Pudahuel.aspx" TargetMode="External"/><Relationship Id="rId296" Type="http://schemas.openxmlformats.org/officeDocument/2006/relationships/hyperlink" Target="https://www.pagina12.com.ar/diario/suplementos/soy/1-4773-2016-09-30.html" TargetMode="External"/><Relationship Id="rId300" Type="http://schemas.openxmlformats.org/officeDocument/2006/relationships/hyperlink" Target="http://www.soychile.cl/Calama/Policial/2016/07/27/408238/Parricidio-en-Calama-Hombre-asesino-a-su-esposa-e-hija.aspx" TargetMode="External"/><Relationship Id="rId60" Type="http://schemas.openxmlformats.org/officeDocument/2006/relationships/hyperlink" Target="http://www.eldinamo.cl/nacional/2017/04/07/la-insolita-confesion-telefonica-de-acusado-de-femicidio-que-indigno-a-antofagasta/" TargetMode="External"/><Relationship Id="rId81" Type="http://schemas.openxmlformats.org/officeDocument/2006/relationships/hyperlink" Target="http://www.puranoticia.cl/noticias/regiones/ambos-ahorcados-el-macabro-hecho-que-conmociona-a-canete/2017-05-02/140852.html" TargetMode="External"/><Relationship Id="rId135" Type="http://schemas.openxmlformats.org/officeDocument/2006/relationships/hyperlink" Target="http://www.latercera.com/noticia/femicidio-lontue-hombre-mato-expareja-la-via-publica-luego-se-suicido/" TargetMode="External"/><Relationship Id="rId156" Type="http://schemas.openxmlformats.org/officeDocument/2006/relationships/hyperlink" Target="http://www.cooperativa.cl/noticias/pais/policial/femicidio/un-femicidio-y-posterior-suicidio-se-registro-en-nunoa/2017-10-03/111913.html" TargetMode="External"/><Relationship Id="rId177" Type="http://schemas.openxmlformats.org/officeDocument/2006/relationships/hyperlink" Target="http://www.soychile.cl/Santiago/Policial/2017/11/11/498361/Amiga-de-la-victima-de-femicidio-en-San-Bernardo-conto-episodios-de-violencia-de-su-pareja-Aparecio-con-el-ojo-morado.aspx" TargetMode="External"/><Relationship Id="rId198" Type="http://schemas.openxmlformats.org/officeDocument/2006/relationships/hyperlink" Target="https://rioenlinea.cl/2017/12/09/liquine-buscan-a-individuo-que-mato-a-su-ex-pareja-y-al-hombre-que-mantendria-una-relacion-con-ella/" TargetMode="External"/><Relationship Id="rId321" Type="http://schemas.openxmlformats.org/officeDocument/2006/relationships/hyperlink" Target="https://www.publimetro.cl/cl/noticias/2017/12/26/la-justicia-llego-cadena-perpetua-autor-femicidio-renca.html" TargetMode="External"/><Relationship Id="rId342" Type="http://schemas.openxmlformats.org/officeDocument/2006/relationships/hyperlink" Target="http://www.cooperativa.cl/noticias/pais/policial/femicidio/nuevo-femicidio-hombre-mato-a-su-ex-pareja-en-colina/2016-10-09/124724.html" TargetMode="External"/><Relationship Id="rId363" Type="http://schemas.openxmlformats.org/officeDocument/2006/relationships/hyperlink" Target="http://www.eldesconcierto.cl/2016/11/02/una-mas-encuentran-muerta-a-mujer-de-27-anos-desaparecida-en-el-monte/" TargetMode="External"/><Relationship Id="rId202" Type="http://schemas.openxmlformats.org/officeDocument/2006/relationships/hyperlink" Target="http://www.cronicaviva.com.pe/tag/claudia-gonzalez-ovalle/" TargetMode="External"/><Relationship Id="rId223" Type="http://schemas.openxmlformats.org/officeDocument/2006/relationships/hyperlink" Target="http://www.elciudadano.cl/chile/karen-andrea-wilson-villagran-cuarto-femicidio-del-ano-2016-se-viene-negro/03/03/" TargetMode="External"/><Relationship Id="rId244" Type="http://schemas.openxmlformats.org/officeDocument/2006/relationships/hyperlink" Target="http://www.elciudadano.cl/chile/imputado-por-femicidio-de-magaly-carriel-volvera-a-prision-tras-apelacion-a-suspension-de-procedimiento/10/13/" TargetMode="External"/><Relationship Id="rId18" Type="http://schemas.openxmlformats.org/officeDocument/2006/relationships/hyperlink" Target="http://www.edicioncero.cl/2017/02/ministerio-de-la-mujer-el-femicidio-es-un-crimen-que-se-puede-evitar/" TargetMode="External"/><Relationship Id="rId39" Type="http://schemas.openxmlformats.org/officeDocument/2006/relationships/hyperlink" Target="http://www.chvnoticias.cl/policial/nuevo-femicidio-hombre-mato-a-su-pareja-y-luego-se-suicido/2017-03-29/212300.html" TargetMode="External"/><Relationship Id="rId265" Type="http://schemas.openxmlformats.org/officeDocument/2006/relationships/hyperlink" Target="http://www.observador.cl/6609-femicidio_en_rinconada_de_los_andes_le_dispar_en_la_cara_a_su_mujer_y_se_suicid" TargetMode="External"/><Relationship Id="rId286" Type="http://schemas.openxmlformats.org/officeDocument/2006/relationships/hyperlink" Target="http://www.emol.com/noticias/Nacional/2016/05/30/805267/PDI-revela-que-joven-mujer-fue-asesinada-en-medio-de-una-discusion-por-celos.html" TargetMode="External"/><Relationship Id="rId50" Type="http://schemas.openxmlformats.org/officeDocument/2006/relationships/hyperlink" Target="http://www.24horas.cl/nacional/limache-encuentran-a-pareja-muerta-al-interior-de-un-hogar-2343880" TargetMode="External"/><Relationship Id="rId104" Type="http://schemas.openxmlformats.org/officeDocument/2006/relationships/hyperlink" Target="http://www.cnnchile.com/noticia/2017/05/26/dos-hombres-fueron-formalizados-tras-calcinar-una-mujer-en-freire" TargetMode="External"/><Relationship Id="rId125" Type="http://schemas.openxmlformats.org/officeDocument/2006/relationships/hyperlink" Target="http://www.diarioeldia.cl/policial/hombre-comete-femicidio-luego-intenta-suicidarse-en-serena" TargetMode="External"/><Relationship Id="rId146" Type="http://schemas.openxmlformats.org/officeDocument/2006/relationships/hyperlink" Target="https://www.msn.com/es-cl/noticias/nacional/detienen-a-presunto-autor-del-asesinato-de-joven-descuartizada-en-melipilla/ar-AArJ6bD" TargetMode="External"/><Relationship Id="rId167" Type="http://schemas.openxmlformats.org/officeDocument/2006/relationships/hyperlink" Target="http://www.latercera.com/noticia/detienen-acusado-matar-pareja-solo-18-anos/" TargetMode="External"/><Relationship Id="rId188" Type="http://schemas.openxmlformats.org/officeDocument/2006/relationships/hyperlink" Target="http://www.biobiochile.cl/noticias/nacional/region-de-los-rios/2017/11/20/amplian-detencion-de-hombre-acusado-de-asesinar-a-su-expareja-en-valdivia.shtml" TargetMode="External"/><Relationship Id="rId311" Type="http://schemas.openxmlformats.org/officeDocument/2006/relationships/hyperlink" Target="https://www.infobae.com/sociedad/2016/08/13/mataron-a-una-argentina-en-chile-e-imputaron-a-su-esposo/" TargetMode="External"/><Relationship Id="rId332" Type="http://schemas.openxmlformats.org/officeDocument/2006/relationships/hyperlink" Target="http://www.biobiochile.cl/noticias/nacional/chile/2016/10/07/detienen-a-subinspector-de-la-pdi-por-la-muerte-de-su-pareja-en-la-cisterna.shtml" TargetMode="External"/><Relationship Id="rId353" Type="http://schemas.openxmlformats.org/officeDocument/2006/relationships/hyperlink" Target="http://www.latribuna.cl/noticia.php?id=MTI4NzM=" TargetMode="External"/><Relationship Id="rId374" Type="http://schemas.openxmlformats.org/officeDocument/2006/relationships/hyperlink" Target="https://www.elciudadano.cl/chile/profesora-de-55-anos-fue-victima-de-femicidio-en-coronel/11/16/" TargetMode="External"/><Relationship Id="rId71" Type="http://schemas.openxmlformats.org/officeDocument/2006/relationships/hyperlink" Target="http://lanacion.cl/2017/04/16/hombre-mato-a-su-esposa-con-un-hachazo-y-se-entrego-a-carabineros/" TargetMode="External"/><Relationship Id="rId92" Type="http://schemas.openxmlformats.org/officeDocument/2006/relationships/hyperlink" Target="http://www.biobiochile.cl/noticias/nacional/region-de-coquimbo/2017/05/06/ministra-pascual-condena-presunto-femicidio-en-coquimbo-y-anuncia-apoyo-a-familiares.shtml" TargetMode="External"/><Relationship Id="rId213" Type="http://schemas.openxmlformats.org/officeDocument/2006/relationships/hyperlink" Target="http://www.abc.com.py/internacionales/hombre-mata-a-su-mujer-con-bate-de-beisbol-en-chile-1459352.html" TargetMode="External"/><Relationship Id="rId234" Type="http://schemas.openxmlformats.org/officeDocument/2006/relationships/hyperlink" Target="http://www.elpais.com.co/judicial/declaran-culpable-a-colombiano-que-asesino-y-descuartizo-a-su-novia-en-chile.html" TargetMode="External"/><Relationship Id="rId2" Type="http://schemas.openxmlformats.org/officeDocument/2006/relationships/hyperlink" Target="http://www.cablenoticias.cl/en-llolleo-un-hombre-asesino-a-su-mujer-y-luego-se-quito-la-vida" TargetMode="External"/><Relationship Id="rId29" Type="http://schemas.openxmlformats.org/officeDocument/2006/relationships/hyperlink" Target="http://www.eldesconcierto.cl/2017/02/23/investigan-posible-femicidio-la-comuna-pemuco/" TargetMode="External"/><Relationship Id="rId255" Type="http://schemas.openxmlformats.org/officeDocument/2006/relationships/hyperlink" Target="http://eltipografo.cl/2016/03/decretan-prision-preventiva-para-imputado-por-femicidio-en-paredones/" TargetMode="External"/><Relationship Id="rId276" Type="http://schemas.openxmlformats.org/officeDocument/2006/relationships/hyperlink" Target="http://www.24horas.cl/nacional/encuentran-cuerpo-de-victima-de-femicidio-oculto-en-el-local-donde-trabajaba-2014973" TargetMode="External"/><Relationship Id="rId297" Type="http://schemas.openxmlformats.org/officeDocument/2006/relationships/hyperlink" Target="http://www.eldinamo.cl/nacional/2017/04/04/la-historia-de-nicole-y-el-silencio-que-rodea-su-brutal-asesinato/" TargetMode="External"/><Relationship Id="rId40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115" Type="http://schemas.openxmlformats.org/officeDocument/2006/relationships/hyperlink" Target="http://www.chvnoticias.cl/nacional/ex-pareja-seria-responsable-de-femicidio-y-homicidio-en-temuco/2017-06-07/140951.html" TargetMode="External"/><Relationship Id="rId136" Type="http://schemas.openxmlformats.org/officeDocument/2006/relationships/hyperlink" Target="https://www.publimetro.cl/cl/noticias/2017/08/27/femicidio-curico-baleo-ex-pareja-frente-hijos-luego-se-suicido.html" TargetMode="External"/><Relationship Id="rId157" Type="http://schemas.openxmlformats.org/officeDocument/2006/relationships/hyperlink" Target="http://aa.com.tr/es/mundo/colombiana-fue-asesinada-por-su-expareja-en-santiago-de-chile-/926801" TargetMode="External"/><Relationship Id="rId178" Type="http://schemas.openxmlformats.org/officeDocument/2006/relationships/hyperlink" Target="http://www.minmujeryeg.cl/prensa/noticias-prensa/noticias-destacadas/repudiamos-este-nuevo-caso-violencia-extrema-una-mujer-ya-estamos-trabajando-ofrecer-todos-los-apoyos-familia-se-haga-justicia/" TargetMode="External"/><Relationship Id="rId301" Type="http://schemas.openxmlformats.org/officeDocument/2006/relationships/hyperlink" Target="http://larepublica.pe/sociedad/959767-asesina-a-su-esposa-y-a-su-hija-cuando-dormian-y-luego-intenta-suicidarse" TargetMode="External"/><Relationship Id="rId322" Type="http://schemas.openxmlformats.org/officeDocument/2006/relationships/hyperlink" Target="https://tn.com.ar/policiales/una-argentina-fue-apunalada-por-su-pareja-en-chile_711850" TargetMode="External"/><Relationship Id="rId343" Type="http://schemas.openxmlformats.org/officeDocument/2006/relationships/hyperlink" Target="http://www.elrepuertero.cl/noticia/sociedad/murio-la-mujer-apunalada-por-su-pareja-en-notaria-de-puerto-montt-deja-4-hijos" TargetMode="External"/><Relationship Id="rId364" Type="http://schemas.openxmlformats.org/officeDocument/2006/relationships/hyperlink" Target="http://www.biobiochile.cl/noticias/nacional/region-de-valparaiso/2016/11/04/femicidio-en-quillota-joven-embarazada-fue-estrangulada-por-su-pareja.shtml" TargetMode="External"/><Relationship Id="rId61" Type="http://schemas.openxmlformats.org/officeDocument/2006/relationships/hyperlink" Target="http://www.biobiochile.cl/noticias/nacional/chile/2017/04/07/formalizan-a-hombre-acusado-de-femicidio-en-antofagasta.shtml" TargetMode="External"/><Relationship Id="rId82" Type="http://schemas.openxmlformats.org/officeDocument/2006/relationships/hyperlink" Target="http://www.biobiochile.cl/noticias/nacional/region-del-bio-bio/2017/05/02/investigan-presunto-femicidio-de-joven-de-23-anos-encontrada-en-canete.shtml" TargetMode="External"/><Relationship Id="rId199" Type="http://schemas.openxmlformats.org/officeDocument/2006/relationships/hyperlink" Target="http://www.cooperativa.cl/noticias/pais/policial/femicidio/el-primer-caso-de-femicidio-de-2016/2016-01-02/122326.html" TargetMode="External"/><Relationship Id="rId203" Type="http://schemas.openxmlformats.org/officeDocument/2006/relationships/hyperlink" Target="http://www.24horas.cl/nacional/mujer-atacada-por-su-pareja-fallece-en-hospital-san-jose-1887782" TargetMode="External"/><Relationship Id="rId19" Type="http://schemas.openxmlformats.org/officeDocument/2006/relationships/hyperlink" Target="http://www.atentos.cl/2017/02/05/brutal-femicidio-sujeto-mata-esposa-golpe-hacha-la-cabeza/" TargetMode="External"/><Relationship Id="rId224" Type="http://schemas.openxmlformats.org/officeDocument/2006/relationships/hyperlink" Target="http://www.diarioantofagasta.cl/regional/antofagasta/61706/asesino-de-profesora-antofagastina-quedo-en-prision-preventiva/" TargetMode="External"/><Relationship Id="rId245" Type="http://schemas.openxmlformats.org/officeDocument/2006/relationships/hyperlink" Target="http://www.elciudadano.cl/chile/sernameg-y-familiares-presentaron-apelacion-a-dictamen-que-mantiene-a-imputado-por-femicidio-en-libertad2016/10/11/" TargetMode="External"/><Relationship Id="rId266" Type="http://schemas.openxmlformats.org/officeDocument/2006/relationships/hyperlink" Target="http://www.cooperativa.cl/noticias/pais/policial/femicidio/prision-preventiva-para-acusado-de-matar-a-su-pareja-a-martillazos-en/2016-03-29/163223.html" TargetMode="External"/><Relationship Id="rId287" Type="http://schemas.openxmlformats.org/officeDocument/2006/relationships/hyperlink" Target="http://www.t13.cl/noticia/politica/gobierno-incluye-pareja-lesbiana-casos-femicidio" TargetMode="External"/><Relationship Id="rId30" Type="http://schemas.openxmlformats.org/officeDocument/2006/relationships/hyperlink" Target="http://www.ladiscusion.cl/detalle/10722/Investigan-posible-femicidio-en-la-comuna-de-Pemuco" TargetMode="External"/><Relationship Id="rId105" Type="http://schemas.openxmlformats.org/officeDocument/2006/relationships/hyperlink" Target="http://www.diarioeldia.cl/pais/mujer-es-quemada-viva-por-su-marido-amigo-en-sur-chile" TargetMode="External"/><Relationship Id="rId126" Type="http://schemas.openxmlformats.org/officeDocument/2006/relationships/hyperlink" Target="http://www.elobservatodo.cl/etiquetas/fidelina-del-carmen-robledo-villalobos" TargetMode="External"/><Relationship Id="rId147" Type="http://schemas.openxmlformats.org/officeDocument/2006/relationships/hyperlink" Target="http://www.latercera.com/noticia/melipilla-Detenido-descuartizamiento-joven-sera-formalizado-femicidio/" TargetMode="External"/><Relationship Id="rId168" Type="http://schemas.openxmlformats.org/officeDocument/2006/relationships/hyperlink" Target="http://www.cooperativa.cl/noticias/pais/policial/carabineros-detuvo-a-hombre-acusado-de-femicidio-en-puente-alto/2017-10-30/033815.html" TargetMode="External"/><Relationship Id="rId312" Type="http://schemas.openxmlformats.org/officeDocument/2006/relationships/hyperlink" Target="http://www.biobiochile.cl/noticias/nacional/chile/2016/08/20/mujer-muere-baleada-por-pareja-en-padre-hurtado-hombre-dice-que-la-confundio-con-ladron.shtml" TargetMode="External"/><Relationship Id="rId333" Type="http://schemas.openxmlformats.org/officeDocument/2006/relationships/hyperlink" Target="http://www.chvnoticias.cl/policial/funcionario-pdi-fue-detenido-por-presunto-femicidio/2016-10-08/212155.html" TargetMode="External"/><Relationship Id="rId354" Type="http://schemas.openxmlformats.org/officeDocument/2006/relationships/hyperlink" Target="http://www.biobiochile.cl/noticias/nacional/region-del-bio-bio/2016/10/21/detienen-a-un-hombre-acusado-de-asesinar-a-mujer-desaparecida-en-laja.shtml" TargetMode="External"/><Relationship Id="rId51" Type="http://schemas.openxmlformats.org/officeDocument/2006/relationships/hyperlink" Target="http://www.elmostrador.cl/noticias/pais/2017/04/05/mujer-de-30-anos-se-convierte-en-la-victima-12-de-feminicidio-en-lo-que-va-del-ano/" TargetMode="External"/><Relationship Id="rId72" Type="http://schemas.openxmlformats.org/officeDocument/2006/relationships/hyperlink" Target="http://www.eldesconcierto.cl/2017/04/16/brutal-femicidio-en-tome-hombre-mato-de-un-hachazo-a-su-esposa/" TargetMode="External"/><Relationship Id="rId93" Type="http://schemas.openxmlformats.org/officeDocument/2006/relationships/hyperlink" Target="http://www.minmujeryeg.gob.cl/prensa/noticias-prensa/noticias-destacadas-home/ministra-claudia-pascual-estamos-tomando-contacto-las-familias-karen-michea-magyory-ponce-ofrecerles-apoyo-psicosocial-legal/" TargetMode="External"/><Relationship Id="rId189" Type="http://schemas.openxmlformats.org/officeDocument/2006/relationships/hyperlink" Target="http://www.biobiochile.cl/noticias/nacional/region-metropolitana/2017/11/29/registran-nuevo-femicidio-en-lo-espejo-hombre-mato-a-mujer-de-un-disparo-en-el-pecho.shtml" TargetMode="External"/><Relationship Id="rId375" Type="http://schemas.openxmlformats.org/officeDocument/2006/relationships/hyperlink" Target="http://www.eldesconcierto.cl/2016/11/22/dos-nuevos-femicidios-en-calama-y-nunoa-elevan-a-50-las-victimas-durante-2016/" TargetMode="External"/><Relationship Id="rId3" Type="http://schemas.openxmlformats.org/officeDocument/2006/relationships/hyperlink" Target="http://www.latercera.com/noticia/buscan-presunto-autor-femicidio-melipilla/" TargetMode="External"/><Relationship Id="rId214" Type="http://schemas.openxmlformats.org/officeDocument/2006/relationships/hyperlink" Target="http://www.eldinamo.cl/nacional/2016/02/25/femicidio-lago-ranco-valdivia/" TargetMode="External"/><Relationship Id="rId235" Type="http://schemas.openxmlformats.org/officeDocument/2006/relationships/hyperlink" Target="http://www.24horas.cl/nacional/la-historia-de-la-joven-descuartizada-y-arrojada-al-mapocho-1956057" TargetMode="External"/><Relationship Id="rId256" Type="http://schemas.openxmlformats.org/officeDocument/2006/relationships/hyperlink" Target="http://www.cooperativa.cl/noticias/pais/policial/femicidio/dos-nuevos-femicidios-enlutan-la-celebracion-del-dia-de-la-mujer/2016-03-08/213535.html" TargetMode="External"/><Relationship Id="rId277" Type="http://schemas.openxmlformats.org/officeDocument/2006/relationships/hyperlink" Target="http://www.adnradio.cl/noticias/nacional/femicidio-en-pudahuel-hombre-confeso-haber-asesinado-a-su-pareja-de-54-anos/20160513/nota/3132164.aspx" TargetMode="External"/><Relationship Id="rId298" Type="http://schemas.openxmlformats.org/officeDocument/2006/relationships/hyperlink" Target="http://www.elmostrador.cl/braga/2017/07/05/quien-era-nicole-saavedra-familia-y-organizaciones-lesbicas-denuncian-un-ano-de-impunidad-de-su-brutal-crimen/" TargetMode="External"/><Relationship Id="rId116" Type="http://schemas.openxmlformats.org/officeDocument/2006/relationships/hyperlink" Target="http://www.redinformativa.cl/portada/tragedia-madre-y-dos-hijos-mueren-en-incendio/" TargetMode="External"/><Relationship Id="rId137" Type="http://schemas.openxmlformats.org/officeDocument/2006/relationships/hyperlink" Target="http://cronicanoticias.cl/noticias/jacqueline-del-transito-soto-fuentes/" TargetMode="External"/><Relationship Id="rId158" Type="http://schemas.openxmlformats.org/officeDocument/2006/relationships/hyperlink" Target="https://costurerassinfronteras.blogspot.com/2017/10/heroinas-monica-alexandra-huertas-araya.html" TargetMode="External"/><Relationship Id="rId302" Type="http://schemas.openxmlformats.org/officeDocument/2006/relationships/hyperlink" Target="http://radiouno.pe/noticias/56710/categorias.php" TargetMode="External"/><Relationship Id="rId323" Type="http://schemas.openxmlformats.org/officeDocument/2006/relationships/hyperlink" Target="https://www.publimetro.cl/cl/nacional/2016/09/07/caso-femicidio-hualqui-mujer-asesinada-pareja-dia-cumpleanos.html" TargetMode="External"/><Relationship Id="rId344" Type="http://schemas.openxmlformats.org/officeDocument/2006/relationships/hyperlink" Target="http://www.emol.com/noticias/Nacional/2016/10/13/826268/Murio-joven-colombiana-apunalada-por-su-pareja-en-una-notaria-de-Puerto-Montt.html" TargetMode="External"/><Relationship Id="rId20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41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62" Type="http://schemas.openxmlformats.org/officeDocument/2006/relationships/hyperlink" Target="http://www.chvnoticias.cl/policial/carabineros-detuvo-a-principal-sospechoso-de-femicidio-en-dalcahue/2017-04-08/163913.html" TargetMode="External"/><Relationship Id="rId83" Type="http://schemas.openxmlformats.org/officeDocument/2006/relationships/hyperlink" Target="http://www.cooperativa.cl/noticias/pais/policial/pdi-busca-a-ex-pareja-de-joven-que-aparecio-colgada-en-canete-es/2017-05-02/122658.html" TargetMode="External"/><Relationship Id="rId179" Type="http://schemas.openxmlformats.org/officeDocument/2006/relationships/hyperlink" Target="http://www.latercera.com/noticia/mujer-venezolana-la-quinta-extranjera-victima-femicidio/" TargetMode="External"/><Relationship Id="rId365" Type="http://schemas.openxmlformats.org/officeDocument/2006/relationships/hyperlink" Target="http://www.t13.cl/noticia/nacional/joven-embarazada-es-estrangulada-su-pareja-quillota" TargetMode="External"/><Relationship Id="rId190" Type="http://schemas.openxmlformats.org/officeDocument/2006/relationships/hyperlink" Target="http://www.chvnoticias.cl/policial/sujeto-asesino-a-su-pareja-en-plena-via-publica-en-lo-espejo/2017-11-30/065314.html" TargetMode="External"/><Relationship Id="rId204" Type="http://schemas.openxmlformats.org/officeDocument/2006/relationships/hyperlink" Target="http://www.chvnoticias.cl/policial/hombre-asesino-a-su-pareja-por-celos-en-independencia/2016-01-02/135925.html" TargetMode="External"/><Relationship Id="rId225" Type="http://schemas.openxmlformats.org/officeDocument/2006/relationships/hyperlink" Target="https://www.laizquierdadiario.cl/Brutal-femicidio-de-profesora-en-Antofagasta" TargetMode="External"/><Relationship Id="rId246" Type="http://schemas.openxmlformats.org/officeDocument/2006/relationships/hyperlink" Target="https://www.diarioconcepcion.cl/ciudad/2016/10/13/corte-ordena-prision-preventiva-para-imputado-de-primer-femicidio-del-ano.html" TargetMode="External"/><Relationship Id="rId267" Type="http://schemas.openxmlformats.org/officeDocument/2006/relationships/hyperlink" Target="http://www.24horas.cl/nacional/impacto-por-femicidio-en-quillon-matan-a-mujer-a-martillazos-1970535" TargetMode="External"/><Relationship Id="rId288" Type="http://schemas.openxmlformats.org/officeDocument/2006/relationships/hyperlink" Target="http://www.eldinamo.cl/blog/ser-lesbiana-y-victima-de-femicidio-en-chile-una-deuda-pendiente/" TargetMode="External"/><Relationship Id="rId106" Type="http://schemas.openxmlformats.org/officeDocument/2006/relationships/hyperlink" Target="http://www.elmostrador.cl/braga/2017/05/27/impactante-caso-de-femicidio-josefina-fue-asesinada-por-su-pareja-y-un-amigo/" TargetMode="External"/><Relationship Id="rId127" Type="http://schemas.openxmlformats.org/officeDocument/2006/relationships/hyperlink" Target="http://www.diariolaregion.cl/portal/?p=48894" TargetMode="External"/><Relationship Id="rId313" Type="http://schemas.openxmlformats.org/officeDocument/2006/relationships/hyperlink" Target="http://www.chvnoticias.cl/policial/hombre-de-71-anos-afirma-que-mato-a-su-pareja-por-error/2016-08-20/141051.html" TargetMode="External"/><Relationship Id="rId10" Type="http://schemas.openxmlformats.org/officeDocument/2006/relationships/hyperlink" Target="https://docs.google.com/spreadsheets/d/1OY8YymIGJzEYTBVKwpkGE-vDsYz3rKSjNe1TUj3qt40/edit?ts=588a2a74" TargetMode="External"/><Relationship Id="rId3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52" Type="http://schemas.openxmlformats.org/officeDocument/2006/relationships/hyperlink" Target="http://www.canal74.cl/2017/04/labocar-de-carabineros-investiga-femicidio-en-la-comuna-de-limache/" TargetMode="External"/><Relationship Id="rId73" Type="http://schemas.openxmlformats.org/officeDocument/2006/relationships/hyperlink" Target="http://elcachapoal.cl/ec/2017/05/08/femicidio-n-14/" TargetMode="External"/><Relationship Id="rId94" Type="http://schemas.openxmlformats.org/officeDocument/2006/relationships/hyperlink" Target="https://www.portalnoticias.cl/2017/05/15/la-mato-a-golpes-y-dijo-que-habia-sido-un-ataque-de-epilepsia/" TargetMode="External"/><Relationship Id="rId148" Type="http://schemas.openxmlformats.org/officeDocument/2006/relationships/hyperlink" Target="http://www.24horas.cl/nacional/familia-confirma-identidad-de-mujer-descuartizada-en-melipilla-tras-reconocer-tatuaje-2500161" TargetMode="External"/><Relationship Id="rId169" Type="http://schemas.openxmlformats.org/officeDocument/2006/relationships/hyperlink" Target="http://www.biobiochile.cl/noticias/nacional/region-metropolitana/2017/10/30/detienen-a-hombre-acusado-de-femicidio-en-puente-alto-fue-denunciado-por-sus-padres.shtml" TargetMode="External"/><Relationship Id="rId334" Type="http://schemas.openxmlformats.org/officeDocument/2006/relationships/hyperlink" Target="http://www.ahoranoticias.cl/noticias/nacional/181363-detienen-a-subinspector-de-la-pdi-por-la-muerte-de-su-pareja.html" TargetMode="External"/><Relationship Id="rId355" Type="http://schemas.openxmlformats.org/officeDocument/2006/relationships/hyperlink" Target="http://www.lacuarta.com/noticia/investiga-femicidio-claudia-cruzat/" TargetMode="External"/><Relationship Id="rId376" Type="http://schemas.openxmlformats.org/officeDocument/2006/relationships/hyperlink" Target="http://www.soychile.cl/Calama/Policial/2016/11/23/431387/Femicidio-en-Calama-Mariela-Bolvaran-la-segunda-victima-de-violencia-intrafamiliar-de-este-2016.aspx" TargetMode="External"/><Relationship Id="rId4" Type="http://schemas.openxmlformats.org/officeDocument/2006/relationships/hyperlink" Target="https://www.eldeber.com.bo/mundo/Boliviana-primera-victima-de-feminicidio-en-Chile-en-2017--20170126-0034.html" TargetMode="External"/><Relationship Id="rId180" Type="http://schemas.openxmlformats.org/officeDocument/2006/relationships/hyperlink" Target="http://www.latercera.com/noticia/detienen-hombre-sospechoso-apunalar-pareja/" TargetMode="External"/><Relationship Id="rId215" Type="http://schemas.openxmlformats.org/officeDocument/2006/relationships/hyperlink" Target="http://www.mqltv.com/eldiariodecopano-nabila-rifo-y-femicidios-en-chile/" TargetMode="External"/><Relationship Id="rId236" Type="http://schemas.openxmlformats.org/officeDocument/2006/relationships/hyperlink" Target="http://www.24horas.cl/nacional/mujer-de-maipu-es-la-quinta-victima-de-femicidio-del-2016-1952357" TargetMode="External"/><Relationship Id="rId257" Type="http://schemas.openxmlformats.org/officeDocument/2006/relationships/hyperlink" Target="http://tiempo21araucania.cl/femicidio-y-posterior-suicidio-en-consultorio-remece-a-renaico/" TargetMode="External"/><Relationship Id="rId278" Type="http://schemas.openxmlformats.org/officeDocument/2006/relationships/hyperlink" Target="http://www.emol.com/noticias/Nacional/2016/05/13/802622/Investigan-el-asesinato-de-una-mujer-en-un-local-en-Pudahuel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diarioeldia.cl/pais/mujer-es-quemada-viva-por-su-marido-amigo-en-sur-chile" TargetMode="External"/><Relationship Id="rId299" Type="http://schemas.openxmlformats.org/officeDocument/2006/relationships/hyperlink" Target="https://www.facebook.com/permalink.php?story_fbid=142863802797302&amp;id=142772599473089" TargetMode="External"/><Relationship Id="rId21" Type="http://schemas.openxmlformats.org/officeDocument/2006/relationships/hyperlink" Target="http://www.t13.cl/noticia/nacional/Femicidio-Mujer-de-26-anos-muere-por-un-disparo-en-San-Bernardo" TargetMode="External"/><Relationship Id="rId63" Type="http://schemas.openxmlformats.org/officeDocument/2006/relationships/hyperlink" Target="http://www.latercera.com/noticia/encuentran-cadaver-mujer-al-interior-clinica-oftalmologica-antofagasta/" TargetMode="External"/><Relationship Id="rId159" Type="http://schemas.openxmlformats.org/officeDocument/2006/relationships/hyperlink" Target="http://www.lasnoticiasdemalleco.cl/2017/09/12/en-angol-detienen-al-presunto-responsable-del-femicidio-de-una-mujer-hallada-en-el-rio-maipo-en-melipilla/" TargetMode="External"/><Relationship Id="rId324" Type="http://schemas.openxmlformats.org/officeDocument/2006/relationships/hyperlink" Target="https://www.eldeber.com.bo/mundo/Estrangulo-a-su-pareja-en-Chile-e-intento-suicidarse-20160811-84449.html" TargetMode="External"/><Relationship Id="rId366" Type="http://schemas.openxmlformats.org/officeDocument/2006/relationships/hyperlink" Target="http://www.soychile.cl/Puerto-Montt/Policial/2016/10/13/423397/Murio-la-joven-colombiana-que-fue-apunalada-en-una-notaria-de-Puerto-Montt.aspx" TargetMode="External"/><Relationship Id="rId170" Type="http://schemas.openxmlformats.org/officeDocument/2006/relationships/hyperlink" Target="http://www.24horas.cl/nacional/sujeto-golpeo-con-utensilios-de-cocina-a-ex-pareja-tras-asesinarla-en-nunoa-2522903" TargetMode="External"/><Relationship Id="rId226" Type="http://schemas.openxmlformats.org/officeDocument/2006/relationships/hyperlink" Target="http://www.elciudadano.cl/justicia/femicidio-condenan-a-20-anos-de-presidio-efectivo-a-hombre-que-mato-a-su-conviviente/04/07/" TargetMode="External"/><Relationship Id="rId107" Type="http://schemas.openxmlformats.org/officeDocument/2006/relationships/hyperlink" Target="http://www.radioprofeta.cl/magyory-la-historia-de-la-joven-con-discapacidad-cognitiva-asesinada-por-su-pareja/" TargetMode="External"/><Relationship Id="rId268" Type="http://schemas.openxmlformats.org/officeDocument/2006/relationships/hyperlink" Target="http://www.emol.com/noticias/Nacional/2016/03/08/792030/Dos-femicidios-mancharon-la-celebracion-del-Dia-Internacional-de-la-Mujer-en-el-pais.html" TargetMode="External"/><Relationship Id="rId289" Type="http://schemas.openxmlformats.org/officeDocument/2006/relationships/hyperlink" Target="http://www.emol.com/noticias/Nacional/2016/05/08/801727/Mujer-es-asesinada-por-su-pareja-y-se-convierte-en-13-victima-de-femicidio.html" TargetMode="External"/><Relationship Id="rId11" Type="http://schemas.openxmlformats.org/officeDocument/2006/relationships/hyperlink" Target="http://www.ntn24.com/video/nuevo-caso-de-feminicidio-en-chile-130962" TargetMode="External"/><Relationship Id="rId32" Type="http://schemas.openxmlformats.org/officeDocument/2006/relationships/hyperlink" Target="http://www.emol.com/noticias/Nacional/2017/02/24/846536/Autoridades-investigan-hallazgo-de-los-cuerpos-de-un-matrimonio-en-Pemuco.html" TargetMode="External"/><Relationship Id="rId53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74" Type="http://schemas.openxmlformats.org/officeDocument/2006/relationships/hyperlink" Target="http://www.paislobo.cl/2017/04/denuncias-de-violencia-intrafamiliar-en.html" TargetMode="External"/><Relationship Id="rId128" Type="http://schemas.openxmlformats.org/officeDocument/2006/relationships/hyperlink" Target="http://www.redinformativa.cl/portada/tragedia-madre-y-dos-hijos-mueren-en-incendio/" TargetMode="External"/><Relationship Id="rId149" Type="http://schemas.openxmlformats.org/officeDocument/2006/relationships/hyperlink" Target="http://www.diarioeldia.cl/pais/hombre-asesina-su-expareja-se-suicida-en-plena-publica" TargetMode="External"/><Relationship Id="rId314" Type="http://schemas.openxmlformats.org/officeDocument/2006/relationships/hyperlink" Target="http://www.elpinguino.com/noticia/2016/06/01/joven-madre-fue-golpeada-brutalmente--y-se-debate-entre-la-vida-y-la-muerte" TargetMode="External"/><Relationship Id="rId335" Type="http://schemas.openxmlformats.org/officeDocument/2006/relationships/hyperlink" Target="http://www.paraguay.com/internacionales/joven-de-18-anos-es-decimonovena-victima-de-feminicidio-en-chile-150223" TargetMode="External"/><Relationship Id="rId356" Type="http://schemas.openxmlformats.org/officeDocument/2006/relationships/hyperlink" Target="http://elurbanorural.cl/el-femicidio-es-la-forma-mas-extrema-de-violencia-contra-las-mujeres-y-toda-la-ciudadania-debe-comprometerse-en-su-erradicacion/" TargetMode="External"/><Relationship Id="rId377" Type="http://schemas.openxmlformats.org/officeDocument/2006/relationships/hyperlink" Target="http://www.biobiochile.cl/noticias/nacional/region-metropolitana/2016/10/25/investigan-presunto-femicidio-en-santiago-tras-encontrar-a-mujer-muerta-en-su-departamento.shtml" TargetMode="External"/><Relationship Id="rId398" Type="http://schemas.openxmlformats.org/officeDocument/2006/relationships/hyperlink" Target="http://diarioelnortino.cl/tag/mariela-bolvaran/" TargetMode="External"/><Relationship Id="rId5" Type="http://schemas.openxmlformats.org/officeDocument/2006/relationships/hyperlink" Target="http://eju.tv/2017/01/feminicida-confiesa-en-sucre-que-mato-a-su-esposa-en-chile/" TargetMode="External"/><Relationship Id="rId95" Type="http://schemas.openxmlformats.org/officeDocument/2006/relationships/hyperlink" Target="http://www.elconcecuente.cl/noticia/sociedad/femicidio-la-encontraron-sin-vida-atada-un-arbol" TargetMode="External"/><Relationship Id="rId160" Type="http://schemas.openxmlformats.org/officeDocument/2006/relationships/hyperlink" Target="https://www.msn.com/es-cl/noticias/nacional/detienen-a-presunto-autor-del-asesinato-de-joven-descuartizada-en-melipilla/ar-AArJ6bD" TargetMode="External"/><Relationship Id="rId181" Type="http://schemas.openxmlformats.org/officeDocument/2006/relationships/hyperlink" Target="http://tvcanal5.cl/policial/" TargetMode="External"/><Relationship Id="rId216" Type="http://schemas.openxmlformats.org/officeDocument/2006/relationships/hyperlink" Target="http://www.cooperativa.cl/noticias/pais/policial/femicidio/el-primer-caso-de-femicidio-de-2016/2016-01-02/122326.html" TargetMode="External"/><Relationship Id="rId237" Type="http://schemas.openxmlformats.org/officeDocument/2006/relationships/hyperlink" Target="http://www.biobiochile.cl/noticias/2016/02/28/ppd-despide-en-lago-ranco-a-militantes-involucrados-en-presunto-femicidio.shtml" TargetMode="External"/><Relationship Id="rId258" Type="http://schemas.openxmlformats.org/officeDocument/2006/relationships/hyperlink" Target="https://www.elnuevodia.com/noticias/mundo/nota/hombremataasuparejaabatazosenchile-2170719/" TargetMode="External"/><Relationship Id="rId279" Type="http://schemas.openxmlformats.org/officeDocument/2006/relationships/hyperlink" Target="http://www.lanueva.com/nota/2016-3-9-8-39-0-chile-2-hombres-mataron-a-sus-parejas-en-el-dia-de-la-mujer" TargetMode="External"/><Relationship Id="rId22" Type="http://schemas.openxmlformats.org/officeDocument/2006/relationships/hyperlink" Target="http://www.diarioeldia.cl/pais/hombre-asesina-su-expareja-se-suicida-en-plena-publica" TargetMode="External"/><Relationship Id="rId43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64" Type="http://schemas.openxmlformats.org/officeDocument/2006/relationships/hyperlink" Target="http://www.diarioantofagasta.cl/regional/antofagasta/74368/la-impactante-confesion-del-imputado-femicidio-antofagasta/" TargetMode="External"/><Relationship Id="rId118" Type="http://schemas.openxmlformats.org/officeDocument/2006/relationships/hyperlink" Target="http://www.elmostrador.cl/braga/2017/05/27/impactante-caso-de-femicidio-josefina-fue-asesinada-por-su-pareja-y-un-amigo/" TargetMode="External"/><Relationship Id="rId139" Type="http://schemas.openxmlformats.org/officeDocument/2006/relationships/hyperlink" Target="http://www.diariolaregion.cl/portal/?p=48894" TargetMode="External"/><Relationship Id="rId290" Type="http://schemas.openxmlformats.org/officeDocument/2006/relationships/hyperlink" Target="http://www.adnradio.cl/noticias/nacional/nuevo-femicidio-hombre-apunalo-a-su-pareja-en-la-granja/20160508/nota/3127111.aspx" TargetMode="External"/><Relationship Id="rId304" Type="http://schemas.openxmlformats.org/officeDocument/2006/relationships/hyperlink" Target="http://www.pressreader.com/chile/la-tercera/20160528/281878707621221" TargetMode="External"/><Relationship Id="rId325" Type="http://schemas.openxmlformats.org/officeDocument/2006/relationships/hyperlink" Target="http://www.mendozapost.com/nota/79532-murio-una-turista-en-un-accidente-vial-en-alvear/" TargetMode="External"/><Relationship Id="rId346" Type="http://schemas.openxmlformats.org/officeDocument/2006/relationships/hyperlink" Target="http://www.biobiochile.cl/noticias/nacional/region-metropolitana/2016/09/11/ministerio-de-la-mujer-condeno-nuevo-femicidio-registrado-el-sabado-en-cerro-navia.shtml" TargetMode="External"/><Relationship Id="rId367" Type="http://schemas.openxmlformats.org/officeDocument/2006/relationships/hyperlink" Target="https://www.facebook.com/PoderJudicialdeChile/photos/a.223728407723265.48016.223518014410971/1110790695683694/?type=3&amp;theater" TargetMode="External"/><Relationship Id="rId388" Type="http://schemas.openxmlformats.org/officeDocument/2006/relationships/hyperlink" Target="http://www.biobiochile.cl/noticias/nacional/region-de-la-araucania/2016/11/09/una-mujer-de-44-anos-fue-asesinada-a-golpes-en-lautaro-autor-confeso-quemo-el-cuerpo.shtml" TargetMode="External"/><Relationship Id="rId85" Type="http://schemas.openxmlformats.org/officeDocument/2006/relationships/hyperlink" Target="https://eldiario.news/nacional/hombre_mato_de_un_hachazo_a_su_esposa_en_tome" TargetMode="External"/><Relationship Id="rId150" Type="http://schemas.openxmlformats.org/officeDocument/2006/relationships/hyperlink" Target="https://www.publimetro.cl/cl/noticias/2017/08/27/femicidio-curico-baleo-ex-pareja-frente-hijos-luego-se-suicido.html" TargetMode="External"/><Relationship Id="rId171" Type="http://schemas.openxmlformats.org/officeDocument/2006/relationships/hyperlink" Target="http://www.cooperativa.cl/noticias/pais/policial/femicidio/un-femicidio-y-posterior-suicidio-se-registro-en-nunoa/2017-10-03/111913.html" TargetMode="External"/><Relationship Id="rId192" Type="http://schemas.openxmlformats.org/officeDocument/2006/relationships/hyperlink" Target="http://www.chvnoticias.cl/policial/autor-de-femicidio-en-san-bernardo-confeso-el-crimen-tras-su-detencion/2017-11-11/162104.html" TargetMode="External"/><Relationship Id="rId206" Type="http://schemas.openxmlformats.org/officeDocument/2006/relationships/hyperlink" Target="http://www.chvnoticias.cl/policial/sujeto-asesino-a-su-pareja-en-plena-via-publica-en-lo-espejo/2017-11-30/065314.html" TargetMode="External"/><Relationship Id="rId227" Type="http://schemas.openxmlformats.org/officeDocument/2006/relationships/hyperlink" Target="http://www.theclinic.cl/2016/03/06/sexto-femicidio-del-ano-hombre-asesino-a-su-esposa-a-golpes-y-luego-se-suicido-en-maipu/" TargetMode="External"/><Relationship Id="rId248" Type="http://schemas.openxmlformats.org/officeDocument/2006/relationships/hyperlink" Target="http://www.biobiochile.cl/noticias/nacional/region-metropolitana/2017/07/19/declaran-culpable-a-hombre-que-mato-y-descuartizo-a-su-pareja-colombiana-en-santiago.shtml" TargetMode="External"/><Relationship Id="rId269" Type="http://schemas.openxmlformats.org/officeDocument/2006/relationships/hyperlink" Target="http://www.chvnoticias.cl/nacional/mujer-asesinada-por-pareja-lo-habia-denunciado-en-la-manana/2016-03-09/140111.html" TargetMode="External"/><Relationship Id="rId12" Type="http://schemas.openxmlformats.org/officeDocument/2006/relationships/hyperlink" Target="http://www.noticiasrcn.com/videos/colombiana-habria-sido-asesinada-su-expareja-tambien-colombiano-chile" TargetMode="External"/><Relationship Id="rId33" Type="http://schemas.openxmlformats.org/officeDocument/2006/relationships/hyperlink" Target="http://www.24horas.cl/nacional/mujer-muere-asesinada-por-ex-pareja-en-el-septimo-femicidio-de-2017-2328768" TargetMode="External"/><Relationship Id="rId108" Type="http://schemas.openxmlformats.org/officeDocument/2006/relationships/hyperlink" Target="http://www.diarioeldia.cl/pais/mujer-32-anos-es-decimoquinta-victima-feminicidio-en-chile-en-2017" TargetMode="External"/><Relationship Id="rId129" Type="http://schemas.openxmlformats.org/officeDocument/2006/relationships/hyperlink" Target="http://www.soychile.cl/Temuco/Sociedad/2017/06/08/468850/Ministra-Pascual-condeno-el-homicidio-de-Roxana-Bravo-y-sus-dos-hijos.aspx" TargetMode="External"/><Relationship Id="rId280" Type="http://schemas.openxmlformats.org/officeDocument/2006/relationships/hyperlink" Target="http://www.biobiochile.cl/noticias/2016/03/09/sename-ayudara-a-nino-que-presencio-femicidio-en-renaico.shtml" TargetMode="External"/><Relationship Id="rId315" Type="http://schemas.openxmlformats.org/officeDocument/2006/relationships/hyperlink" Target="https://www.pagina12.com.ar/diario/suplementos/soy/1-4773-2016-09-30.html" TargetMode="External"/><Relationship Id="rId336" Type="http://schemas.openxmlformats.org/officeDocument/2006/relationships/hyperlink" Target="http://www.diarioeldia.cl/pais/joven-18-anos-es-decimonovena-victima-femicidio-en-chile-en-2016" TargetMode="External"/><Relationship Id="rId357" Type="http://schemas.openxmlformats.org/officeDocument/2006/relationships/hyperlink" Target="http://www.ahoranoticias.cl/noticias/nacional/181402-nuevo-femicidio-en-colina-carabineros-detiene-al-presunto-autor-del-crimen.html" TargetMode="External"/><Relationship Id="rId54" Type="http://schemas.openxmlformats.org/officeDocument/2006/relationships/hyperlink" Target="https://www.efe.com/efe/america/sociedad/una-mujer-de-48-anos-es-la-decima-victima-feminicidio-en-chile-2017/20000013-3224955" TargetMode="External"/><Relationship Id="rId75" Type="http://schemas.openxmlformats.org/officeDocument/2006/relationships/hyperlink" Target="http://www.24horas.cl/nacional/femicidio-en-rancagua-joven-asesina-a-su-polola-y-luego-se-quita-la-vida-2352876" TargetMode="External"/><Relationship Id="rId96" Type="http://schemas.openxmlformats.org/officeDocument/2006/relationships/hyperlink" Target="http://www.puranoticia.cl/noticias/regiones/ambos-ahorcados-el-macabro-hecho-que-conmociona-a-canete/2017-05-02/140852.html" TargetMode="External"/><Relationship Id="rId140" Type="http://schemas.openxmlformats.org/officeDocument/2006/relationships/hyperlink" Target="http://www.biobiochile.cl/noticias/nacional/region-de-coquimbo/2017/07/29/mujer-murio-estrangulada-en-la-serena-y-pareja-intento-suicidarse-investigan-femicidio.shtml" TargetMode="External"/><Relationship Id="rId161" Type="http://schemas.openxmlformats.org/officeDocument/2006/relationships/hyperlink" Target="http://www.latercera.com/noticia/melipilla-Detenido-descuartizamiento-joven-sera-formalizado-femicidio/" TargetMode="External"/><Relationship Id="rId182" Type="http://schemas.openxmlformats.org/officeDocument/2006/relationships/hyperlink" Target="http://www.latercera.com/noticia/detienen-acusado-matar-pareja-solo-18-anos/" TargetMode="External"/><Relationship Id="rId217" Type="http://schemas.openxmlformats.org/officeDocument/2006/relationships/hyperlink" Target="http://www.soychile.cl/Santiago/Policial/2016/01/02/367535/Crimen-de-mujer-de-37-anos-se-convierte-en-el-primer-femicidio-de-2016.aspx" TargetMode="External"/><Relationship Id="rId378" Type="http://schemas.openxmlformats.org/officeDocument/2006/relationships/hyperlink" Target="http://www.24horas.cl/nacional/encuentran-cuerpo-sin-vida-de-una-mujer-al-interior-de-su-departamento-en-santiago-centro-2172543" TargetMode="External"/><Relationship Id="rId399" Type="http://schemas.openxmlformats.org/officeDocument/2006/relationships/hyperlink" Target="http://losandes.com.ar/article/dos-argentinas-murieron-en-femicidios-en-un-mes-en-chile" TargetMode="External"/><Relationship Id="rId6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238" Type="http://schemas.openxmlformats.org/officeDocument/2006/relationships/hyperlink" Target="https://www.debate.com.mx/mundo/Hombre-mata-a-su-mujer-con-bate-de-beisbol-20160306-0037.html" TargetMode="External"/><Relationship Id="rId259" Type="http://schemas.openxmlformats.org/officeDocument/2006/relationships/hyperlink" Target="http://rpp.pe/mundo/chile/chile-hombre-mata-a-su-pareja-con-un-bate-de-beisbol-noticia-943739" TargetMode="External"/><Relationship Id="rId23" Type="http://schemas.openxmlformats.org/officeDocument/2006/relationships/hyperlink" Target="http://www.chvnoticias.cl/policial/nuevo-femicidio-mujer-de-26-anos-murio-por-impactos-de-bala/2017-02-09/002344.html" TargetMode="External"/><Relationship Id="rId119" Type="http://schemas.openxmlformats.org/officeDocument/2006/relationships/hyperlink" Target="http://www.24horas.cl/nacional/pareja-y-su-amigo-fueron-autores-de-femicidio-de-mujer-calcinada-en-freire-2397631" TargetMode="External"/><Relationship Id="rId270" Type="http://schemas.openxmlformats.org/officeDocument/2006/relationships/hyperlink" Target="http://www.biobiochile.cl/noticias/2016/03/12/en-prision-preventiva-queda-presunto-autor-de-femicidio-en-paredones.shtml" TargetMode="External"/><Relationship Id="rId291" Type="http://schemas.openxmlformats.org/officeDocument/2006/relationships/hyperlink" Target="http://www.ahoranoticias.cl/noticias/nacional/172027-nuevo-feminicidio-hombre-apunalo-a-su-mujer-en-la-granja.html" TargetMode="External"/><Relationship Id="rId305" Type="http://schemas.openxmlformats.org/officeDocument/2006/relationships/hyperlink" Target="http://www.emol.com/noticias/Nacional/2016/05/30/805267/PDI-revela-que-joven-mujer-fue-asesinada-en-medio-de-una-discusion-por-celos.html" TargetMode="External"/><Relationship Id="rId326" Type="http://schemas.openxmlformats.org/officeDocument/2006/relationships/hyperlink" Target="https://www.diariouno.com.ar/policiales/crimen-una-mendocina-chile-la-mataron-un-panuelo-20160814-n1208443.html" TargetMode="External"/><Relationship Id="rId347" Type="http://schemas.openxmlformats.org/officeDocument/2006/relationships/hyperlink" Target="http://www.soychile.cl/Valparaiso/Policial/2016/09/21/419176/Detienen-a-presunto-responsable-de-la-muerte-de-una-mujer-en-Villa-Alemana.aspx" TargetMode="External"/><Relationship Id="rId44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65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86" Type="http://schemas.openxmlformats.org/officeDocument/2006/relationships/hyperlink" Target="https://reportechile.net/2017/04/hombre-mato-de-un-hachazo-a-su-esposa-en-tome/" TargetMode="External"/><Relationship Id="rId130" Type="http://schemas.openxmlformats.org/officeDocument/2006/relationships/hyperlink" Target="http://www.soychile.cl/Temuco/Policial/2017/06/06/468548/Madre-y-sus-dos-hijos-habrian-sido-asesinados-antes-del-incendio-en-San-Ramon.aspx" TargetMode="External"/><Relationship Id="rId151" Type="http://schemas.openxmlformats.org/officeDocument/2006/relationships/hyperlink" Target="http://cronicanoticias.cl/noticias/jacqueline-del-transito-soto-fuentes/" TargetMode="External"/><Relationship Id="rId368" Type="http://schemas.openxmlformats.org/officeDocument/2006/relationships/hyperlink" Target="http://www.minmujeryeg.cl/sernam-regional/region_lagos/sermaneg-logra-cadena-perpetua-autor-femicidio-ocurrido-2016/" TargetMode="External"/><Relationship Id="rId389" Type="http://schemas.openxmlformats.org/officeDocument/2006/relationships/hyperlink" Target="http://www.chvnoticias.cl/policial/mujer-de-54-anos-es-la-victima-numero-31-de-femicidio/2016-11-16/141558.html" TargetMode="External"/><Relationship Id="rId172" Type="http://schemas.openxmlformats.org/officeDocument/2006/relationships/hyperlink" Target="http://aa.com.tr/es/mundo/colombiana-fue-asesinada-por-su-expareja-en-santiago-de-chile-/926801" TargetMode="External"/><Relationship Id="rId193" Type="http://schemas.openxmlformats.org/officeDocument/2006/relationships/hyperlink" Target="http://www.soychile.cl/Santiago/Policial/2017/11/11/498361/Amiga-de-la-victima-de-femicidio-en-San-Bernardo-conto-episodios-de-violencia-de-su-pareja-Aparecio-con-el-ojo-morado.aspx" TargetMode="External"/><Relationship Id="rId207" Type="http://schemas.openxmlformats.org/officeDocument/2006/relationships/hyperlink" Target="http://m.cooperativa.cl/noticias/pais/policial/femicidio/lo-espejo-hombre-mato-de-un-balazo-a-su-pareja-en-plena-calle/2017-11-29/223224.html" TargetMode="External"/><Relationship Id="rId228" Type="http://schemas.openxmlformats.org/officeDocument/2006/relationships/hyperlink" Target="http://portal.sernam.cl/img/upoloads/FEMICIDIOS%202016%20al%2010%20de%20enero.pdf" TargetMode="External"/><Relationship Id="rId249" Type="http://schemas.openxmlformats.org/officeDocument/2006/relationships/hyperlink" Target="http://www.semana.com/nacion/articulo/joven-colombiana-fue-descuartizada-en-chile/464651" TargetMode="External"/><Relationship Id="rId13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109" Type="http://schemas.openxmlformats.org/officeDocument/2006/relationships/hyperlink" Target="http://lanacion.cl/2017/05/14/nuevo-caso-de-femicidio-y-parricidio-en-san-francisco-de-mostazal/" TargetMode="External"/><Relationship Id="rId260" Type="http://schemas.openxmlformats.org/officeDocument/2006/relationships/hyperlink" Target="http://www.minmujeryeg.cl/prensa/noticias-prensa/noticias-regionales/imputado-femicidio-magaly-carriel-volvera-prision-tras-apelacion-suspension-procedimiento/" TargetMode="External"/><Relationship Id="rId281" Type="http://schemas.openxmlformats.org/officeDocument/2006/relationships/hyperlink" Target="http://www.elandino.cl/2016/03/10/dramatico-femicidio-y-suicidio-en-predio-agricola-de-rinconada-cuidador-mato-a-su-esposa-y-posteriormente-se-quito-la-vida-con-la-misma-arma-de-fuego-una-escopeta-calibre-12/" TargetMode="External"/><Relationship Id="rId316" Type="http://schemas.openxmlformats.org/officeDocument/2006/relationships/hyperlink" Target="http://www.eldinamo.cl/nacional/2017/04/04/la-historia-de-nicole-y-el-silencio-que-rodea-su-brutal-asesinato/" TargetMode="External"/><Relationship Id="rId337" Type="http://schemas.openxmlformats.org/officeDocument/2006/relationships/hyperlink" Target="http://www.wradio.com.co/noticias/internacional/joven-de-18-anos-es-decimonovena-victima-de-feminicidio-en-chile-en-2016/20160902/nota/3234836.aspx" TargetMode="External"/><Relationship Id="rId34" Type="http://schemas.openxmlformats.org/officeDocument/2006/relationships/hyperlink" Target="http://www.diarioelcentro.cl/noticias/cronica/femicidio-en-molina-familia-de-victima-exige-un-castigo-ejemplar" TargetMode="External"/><Relationship Id="rId55" Type="http://schemas.openxmlformats.org/officeDocument/2006/relationships/hyperlink" Target="http://www.diariocronica.cl/?p=9134" TargetMode="External"/><Relationship Id="rId76" Type="http://schemas.openxmlformats.org/officeDocument/2006/relationships/hyperlink" Target="http://www.24horas.cl/nacional/femicidio-en-rancagua-joven-asesina-a-su-polola-y-luego-se-quita-la-vida-2352876" TargetMode="External"/><Relationship Id="rId97" Type="http://schemas.openxmlformats.org/officeDocument/2006/relationships/hyperlink" Target="http://www.latercera.com/noticia/mujer-coquimbana-seria-la-decimocuarta-victima-feminicidio-este-ano/" TargetMode="External"/><Relationship Id="rId120" Type="http://schemas.openxmlformats.org/officeDocument/2006/relationships/hyperlink" Target="http://www.emol.com/noticias/Nacional/2017/05/27/860263/Mujer-muere-quemada-tras-ser-golpeada-por-su-pareja-y-un-amigo-en-la-comuna-de-Freire.html" TargetMode="External"/><Relationship Id="rId141" Type="http://schemas.openxmlformats.org/officeDocument/2006/relationships/hyperlink" Target="http://www.24horas.cl/regiones/coquimbo/femicidio-en-las-companias--2463701" TargetMode="External"/><Relationship Id="rId358" Type="http://schemas.openxmlformats.org/officeDocument/2006/relationships/hyperlink" Target="http://www.emol.com/noticias/Nacional/2016/10/09/825715/Detienen-a-hombre-acusado-de-matar-a-su-ex-pareja-tras-discusion-por-la-tarjeta-del-banco.html" TargetMode="External"/><Relationship Id="rId379" Type="http://schemas.openxmlformats.org/officeDocument/2006/relationships/hyperlink" Target="http://www.chvnoticias.cl/policial/mujer-fue-asesinada-en-estacion-central/2016-10-24/225057.html" TargetMode="External"/><Relationship Id="rId7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62" Type="http://schemas.openxmlformats.org/officeDocument/2006/relationships/hyperlink" Target="http://www.24horas.cl/nacional/familia-confirma-identidad-de-mujer-descuartizada-en-melipilla-tras-reconocer-tatuaje-2500161" TargetMode="External"/><Relationship Id="rId183" Type="http://schemas.openxmlformats.org/officeDocument/2006/relationships/hyperlink" Target="http://www.cooperativa.cl/noticias/pais/policial/carabineros-detuvo-a-hombre-acusado-de-femicidio-en-puente-alto/2017-10-30/033815.html" TargetMode="External"/><Relationship Id="rId218" Type="http://schemas.openxmlformats.org/officeDocument/2006/relationships/hyperlink" Target="http://www.theclinic.cl/2016/01/02/crimen-de-mujer-de-37-anos-se-convierte-primer-femicidio-de-2016/" TargetMode="External"/><Relationship Id="rId239" Type="http://schemas.openxmlformats.org/officeDocument/2006/relationships/hyperlink" Target="http://www.soychile.cl/Antofagasta/Policial/2016/03/03/378759/Una-mujer-de-31-anos-es-la-victima-del-primer-femicidio-de-2016-en-Antofagasta.aspx" TargetMode="External"/><Relationship Id="rId390" Type="http://schemas.openxmlformats.org/officeDocument/2006/relationships/hyperlink" Target="http://www.24horas.cl/nacional/hombre-mato-a-su-esposa-en-coronel-y-dejo-carta-explicando-los-motivos-2194305" TargetMode="External"/><Relationship Id="rId250" Type="http://schemas.openxmlformats.org/officeDocument/2006/relationships/hyperlink" Target="http://www.elpais.com.co/judicial/14-anos-de-carcel-para-joven-que-asesino-a-vallecaucana-en-santiago-de-chile.html" TargetMode="External"/><Relationship Id="rId271" Type="http://schemas.openxmlformats.org/officeDocument/2006/relationships/hyperlink" Target="http://www.biobiochile.cl/noticias/2016/03/12/en-prision-preventiva-queda-presunto-autor-de-femicidio-en-paredones.shtml" TargetMode="External"/><Relationship Id="rId292" Type="http://schemas.openxmlformats.org/officeDocument/2006/relationships/hyperlink" Target="http://www.ahoranoticias.cl/noticias/nacional/172027-nuevo-feminicidio-hombre-apunalo-a-su-mujer-en-la-granja.html" TargetMode="External"/><Relationship Id="rId306" Type="http://schemas.openxmlformats.org/officeDocument/2006/relationships/hyperlink" Target="http://www.t13.cl/noticia/politica/gobierno-incluye-pareja-lesbiana-casos-femicidio" TargetMode="External"/><Relationship Id="rId24" Type="http://schemas.openxmlformats.org/officeDocument/2006/relationships/hyperlink" Target="http://www.latercera.com/noticia/indagan-posible-femicidio-posterior-suicidio-la-pintana/" TargetMode="External"/><Relationship Id="rId45" Type="http://schemas.openxmlformats.org/officeDocument/2006/relationships/hyperlink" Target="http://www.eldivisadero.cl/noticia-41810" TargetMode="External"/><Relationship Id="rId66" Type="http://schemas.openxmlformats.org/officeDocument/2006/relationships/hyperlink" Target="http://www.cooperativa.cl/noticias/pais/policial/femicidio/antofagasta-joven-madre-fue-asesinada-por-su-ex-marido/2017-04-05/123641.html" TargetMode="External"/><Relationship Id="rId87" Type="http://schemas.openxmlformats.org/officeDocument/2006/relationships/hyperlink" Target="http://www.latercera.com/noticia/indagan-nuevo-femicidio-en-rancagua/" TargetMode="External"/><Relationship Id="rId110" Type="http://schemas.openxmlformats.org/officeDocument/2006/relationships/hyperlink" Target="http://www.24horas.cl/nacional/hombre-mata-a-su-esposa-e-hijo-en-san-francisco-de-mostazal-2383055" TargetMode="External"/><Relationship Id="rId131" Type="http://schemas.openxmlformats.org/officeDocument/2006/relationships/hyperlink" Target="http://www.biobiochile.cl/noticias/nacional/region-de-la-araucania/2017/06/07/investigan-a-hombre-que-habria-asesinado-y-quemado-a-mujer-con-sus-hijos-en-la-araucania.shtml" TargetMode="External"/><Relationship Id="rId327" Type="http://schemas.openxmlformats.org/officeDocument/2006/relationships/hyperlink" Target="http://losandes.com.ar/article/hallaron-estrangulada-a-una-mendocina-en-su-casa-de-chile" TargetMode="External"/><Relationship Id="rId348" Type="http://schemas.openxmlformats.org/officeDocument/2006/relationships/hyperlink" Target="http://www.biobiochile.cl/noticias/nacional/region-de-valparaiso/2016/09/21/detienen-a-sospechoso-de-crimen-de-mujer-en-villa-alemana.shtml" TargetMode="External"/><Relationship Id="rId369" Type="http://schemas.openxmlformats.org/officeDocument/2006/relationships/hyperlink" Target="http://www.soychile.cl/Puerto-Montt/Policial/2016/10/17/424104/Otro-femicidio-en-Puerto-Montt-hombre-apunalo-a-su-esposa-delante-de-sus-hijas.aspx" TargetMode="External"/><Relationship Id="rId152" Type="http://schemas.openxmlformats.org/officeDocument/2006/relationships/hyperlink" Target="http://www.radiocondell.cl/2017/08/28/nuevo-femicidio-individuo-frente-a-los-hijos-mato-a-su-esposa-y-luego-se-suicido/" TargetMode="External"/><Relationship Id="rId173" Type="http://schemas.openxmlformats.org/officeDocument/2006/relationships/hyperlink" Target="https://costurerassinfronteras.blogspot.com/2017/10/heroinas-monica-alexandra-huertas-araya.html" TargetMode="External"/><Relationship Id="rId194" Type="http://schemas.openxmlformats.org/officeDocument/2006/relationships/hyperlink" Target="http://www.minmujeryeg.cl/prensa/noticias-prensa/noticias-destacadas/repudiamos-este-nuevo-caso-violencia-extrema-una-mujer-ya-estamos-trabajando-ofrecer-todos-los-apoyos-familia-se-haga-justicia/" TargetMode="External"/><Relationship Id="rId208" Type="http://schemas.openxmlformats.org/officeDocument/2006/relationships/hyperlink" Target="http://www.cooperativa.cl/noticias/pais/policial/femicidio/lo-espejo-hombre-mato-de-un-balazo-a-su-pareja-en-plena-calle/2017-11-29/223224.html" TargetMode="External"/><Relationship Id="rId229" Type="http://schemas.openxmlformats.org/officeDocument/2006/relationships/hyperlink" Target="http://www.biobiochile.cl/noticias/nacional/region-de-la-araucania/2017/03/31/hombre-es-condenado-por-matar-a-su-pareja-con-un-cuchillo-en-la-localidad-de-queule.shtml" TargetMode="External"/><Relationship Id="rId380" Type="http://schemas.openxmlformats.org/officeDocument/2006/relationships/hyperlink" Target="http://www.biobiochile.cl/noticias/nacional/region-metropolitana/2016/11/01/encuentran-muerta-a-joven-desaparecida-hace-nueve-dias-en-la-comuna-de-el-monte.shtml" TargetMode="External"/><Relationship Id="rId240" Type="http://schemas.openxmlformats.org/officeDocument/2006/relationships/hyperlink" Target="http://www.elciudadano.cl/chile/karen-andrea-wilson-villagran-cuarto-femicidio-del-ano-2016-se-viene-negro/03/03/" TargetMode="External"/><Relationship Id="rId261" Type="http://schemas.openxmlformats.org/officeDocument/2006/relationships/hyperlink" Target="http://www.elciudadano.cl/chile/imputado-por-femicidio-de-magaly-carriel-volvera-a-prision-tras-apelacion-a-suspension-de-procedimiento/10/13/" TargetMode="External"/><Relationship Id="rId14" Type="http://schemas.openxmlformats.org/officeDocument/2006/relationships/hyperlink" Target="http://www.eldesconcierto.cl/2017/02/09/femicidio-en-san-bernardo-es-el-septimo-perpetrado-durante-los-primeros-meses-de-2017/" TargetMode="External"/><Relationship Id="rId35" Type="http://schemas.openxmlformats.org/officeDocument/2006/relationships/hyperlink" Target="http://www.24horas.cl/nacional/mujer-muere-asesinada-por-ex-pareja-en-el-septimo-femicidio-de-2017-2328768" TargetMode="External"/><Relationship Id="rId56" Type="http://schemas.openxmlformats.org/officeDocument/2006/relationships/hyperlink" Target="http://www.diariocronica.cl/?p=9134" TargetMode="External"/><Relationship Id="rId77" Type="http://schemas.openxmlformats.org/officeDocument/2006/relationships/hyperlink" Target="http://redohiggins.com/femicidio-joven-de-29-anos-mato-a-su-pareja-y-posteriormente-se-suicido_1491934845Rnfx4.html" TargetMode="External"/><Relationship Id="rId100" Type="http://schemas.openxmlformats.org/officeDocument/2006/relationships/hyperlink" Target="http://www.eluniversal.com.mx/articulo/mundo/2017/05/6/feminicidio-en-chile-mujer-de-60-anos-es-apunalada-por-su-pareja" TargetMode="External"/><Relationship Id="rId282" Type="http://schemas.openxmlformats.org/officeDocument/2006/relationships/hyperlink" Target="http://soyaconcagua.cl/2016/03/11/femicidio-en-rinconada-eleva-a-11-el-numero-de-victimas-en-lo-que-va-del-ano-en-el-pais/" TargetMode="External"/><Relationship Id="rId317" Type="http://schemas.openxmlformats.org/officeDocument/2006/relationships/hyperlink" Target="http://www.elmostrador.cl/braga/2017/07/05/quien-era-nicole-saavedra-familia-y-organizaciones-lesbicas-denuncian-un-ano-de-impunidad-de-su-brutal-crimen/" TargetMode="External"/><Relationship Id="rId338" Type="http://schemas.openxmlformats.org/officeDocument/2006/relationships/hyperlink" Target="http://www.emol.com/noticias/Nacional/2016/09/04/820398/Mujer-muere-a-manos-de-su-ex-pareja-que-tenia-antecedentes-por-violencia.html" TargetMode="External"/><Relationship Id="rId359" Type="http://schemas.openxmlformats.org/officeDocument/2006/relationships/hyperlink" Target="http://www.t13.cl/noticia/nacional/colina-hombre-asesina-su-pareja-porque-no-quiso-entregarle-su-tarjeta-credito" TargetMode="External"/><Relationship Id="rId8" Type="http://schemas.openxmlformats.org/officeDocument/2006/relationships/hyperlink" Target="http://www.la-razon.com/sociedad/Chile-boliviana-primera-victima-feminicidio-2017_0_2644535562.html" TargetMode="External"/><Relationship Id="rId98" Type="http://schemas.openxmlformats.org/officeDocument/2006/relationships/hyperlink" Target="http://www.diarioeldia.cl/policial/victima-agresor-se-enfrentaron-en-ovalle-previo-femicidio-en-coquimbo" TargetMode="External"/><Relationship Id="rId121" Type="http://schemas.openxmlformats.org/officeDocument/2006/relationships/hyperlink" Target="https://www.araucaniacuenta.cl/tag/josefina-allilef-huenchumil/" TargetMode="External"/><Relationship Id="rId142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63" Type="http://schemas.openxmlformats.org/officeDocument/2006/relationships/hyperlink" Target="https://docs.google.com/spreadsheets/d/1YoRhvIyEnnM8PNWDB1dRu279pTIeFMVqCAuX5KTXSuU/edit" TargetMode="External"/><Relationship Id="rId184" Type="http://schemas.openxmlformats.org/officeDocument/2006/relationships/hyperlink" Target="http://www.biobiochile.cl/noticias/nacional/region-metropolitana/2017/10/30/detienen-a-hombre-acusado-de-femicidio-en-puente-alto-fue-denunciado-por-sus-padres.shtml" TargetMode="External"/><Relationship Id="rId219" Type="http://schemas.openxmlformats.org/officeDocument/2006/relationships/hyperlink" Target="http://www.cronicaviva.com.pe/tag/claudia-gonzalez-ovalle/" TargetMode="External"/><Relationship Id="rId370" Type="http://schemas.openxmlformats.org/officeDocument/2006/relationships/hyperlink" Target="http://www.cooperativa.cl/noticias/pais/policial/femicidio/segundo-femicidio-en-menos-de-una-semana-enluta-a-puerto-montt/2016-10-18/003322.html" TargetMode="External"/><Relationship Id="rId391" Type="http://schemas.openxmlformats.org/officeDocument/2006/relationships/hyperlink" Target="http://www.cooperativa.cl/noticias/pais/policial/femicidio/nuevo-femicidio-hombre-confeso-haber-asesinado-a-su-esposa-en-coronel/2016-11-15/173927.html" TargetMode="External"/><Relationship Id="rId230" Type="http://schemas.openxmlformats.org/officeDocument/2006/relationships/hyperlink" Target="http://www.abc.com.py/internacionales/hombre-mata-a-su-mujer-con-bate-de-beisbol-en-chile-1459352.html" TargetMode="External"/><Relationship Id="rId251" Type="http://schemas.openxmlformats.org/officeDocument/2006/relationships/hyperlink" Target="http://www.elpais.com.co/judicial/declaran-culpable-a-colombiano-que-asesino-y-descuartizo-a-su-novia-en-chile.html" TargetMode="External"/><Relationship Id="rId25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46" Type="http://schemas.openxmlformats.org/officeDocument/2006/relationships/hyperlink" Target="http://redaysen.com/hombre-acusado-de-femicidio-confeso-que-estrangulo-a-su-pareja_1503061272oZkxP.html" TargetMode="External"/><Relationship Id="rId67" Type="http://schemas.openxmlformats.org/officeDocument/2006/relationships/hyperlink" Target="http://www.eldinamo.cl/nacional/2017/04/07/la-insolita-confesion-telefonica-de-acusado-de-femicidio-que-indigno-a-antofagasta/" TargetMode="External"/><Relationship Id="rId272" Type="http://schemas.openxmlformats.org/officeDocument/2006/relationships/hyperlink" Target="http://eltipografo.cl/2016/03/mujer-de-paredones-se-convirtio-esta-tarde-en-la-octava-victima-de-femicidio-en-el-ano-en-el-pais/" TargetMode="External"/><Relationship Id="rId293" Type="http://schemas.openxmlformats.org/officeDocument/2006/relationships/hyperlink" Target="http://www.chvnoticias.cl/policial/nuevo-femicidio-pareja-asesino-a-mujer-en-la-granja/2016-05-08/153502.html" TargetMode="External"/><Relationship Id="rId307" Type="http://schemas.openxmlformats.org/officeDocument/2006/relationships/hyperlink" Target="http://www.eldinamo.cl/blog/ser-lesbiana-y-victima-de-femicidio-en-chile-una-deuda-pendiente/" TargetMode="External"/><Relationship Id="rId328" Type="http://schemas.openxmlformats.org/officeDocument/2006/relationships/hyperlink" Target="http://www.paraguay.com/internacionales/argentina-de-30-anos-muere-estrangulada-por-su-pareja-en-chile-149043" TargetMode="External"/><Relationship Id="rId349" Type="http://schemas.openxmlformats.org/officeDocument/2006/relationships/hyperlink" Target="http://www.chvnoticias.cl/policial/investigan-causas-de-homicidio-a-una-mujer-en-villa-alemana/2016-09-19/233214.html" TargetMode="External"/><Relationship Id="rId88" Type="http://schemas.openxmlformats.org/officeDocument/2006/relationships/hyperlink" Target="http://lanacion.cl/2017/04/16/hombre-mato-a-su-esposa-con-un-hachazo-y-se-entrego-a-carabineros/" TargetMode="External"/><Relationship Id="rId111" Type="http://schemas.openxmlformats.org/officeDocument/2006/relationships/hyperlink" Target="http://www.soychile.cl/Santiago/Policial/2017/05/14/463761/Mujer-de-32-anos-es-la-decimoquinta-victima-de-feminicidio-en-2017.aspx" TargetMode="External"/><Relationship Id="rId132" Type="http://schemas.openxmlformats.org/officeDocument/2006/relationships/hyperlink" Target="http://www.temucodiario.cl/sitio/2017/06/09/temuco-decretan-prision-preventiva-de-imputado-por-un-delito-de-femicidio-dos-homicidios-e-incendio-en-san-ramon/" TargetMode="External"/><Relationship Id="rId153" Type="http://schemas.openxmlformats.org/officeDocument/2006/relationships/hyperlink" Target="http://www.diariolaprensa.cl/curico/femicidio-y-posterior-suicidio-estremece-a-lontue/" TargetMode="External"/><Relationship Id="rId174" Type="http://schemas.openxmlformats.org/officeDocument/2006/relationships/hyperlink" Target="https://www.cooperativa.cl/noticias/pais/policial/femicidio/hombre-mato-a-su-conviviente-y-se-suicido/2017-10-20/141029.html" TargetMode="External"/><Relationship Id="rId195" Type="http://schemas.openxmlformats.org/officeDocument/2006/relationships/hyperlink" Target="http://www.latercera.com/noticia/mujer-venezolana-la-quinta-extranjera-victima-femicidio/" TargetMode="External"/><Relationship Id="rId209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360" Type="http://schemas.openxmlformats.org/officeDocument/2006/relationships/hyperlink" Target="https://www.pressreader.com/chile/la-cuarta/20161010/281706909193143" TargetMode="External"/><Relationship Id="rId381" Type="http://schemas.openxmlformats.org/officeDocument/2006/relationships/hyperlink" Target="http://www.emol.com/noticias/Nacional/2016/11/02/829256/Sospechoso-por-crimen-de-mujer-desparecida-en-El-Paico-pasara-a-control-de-detencion-esta-manana.html" TargetMode="External"/><Relationship Id="rId220" Type="http://schemas.openxmlformats.org/officeDocument/2006/relationships/hyperlink" Target="http://www.24horas.cl/nacional/mujer-atacada-por-su-pareja-fallece-en-hospital-san-jose-1887782" TargetMode="External"/><Relationship Id="rId241" Type="http://schemas.openxmlformats.org/officeDocument/2006/relationships/hyperlink" Target="http://www.diarioantofagasta.cl/regional/antofagasta/61706/asesino-de-profesora-antofagastina-quedo-en-prision-preventiva/" TargetMode="External"/><Relationship Id="rId15" Type="http://schemas.openxmlformats.org/officeDocument/2006/relationships/hyperlink" Target="https://www.araucaniacuenta.cl/ministra-s-perez-condeno-energicamente-el-femicidio-de-carmen-vazquez-de-la-comuna-de-san-javier/" TargetMode="External"/><Relationship Id="rId36" Type="http://schemas.openxmlformats.org/officeDocument/2006/relationships/hyperlink" Target="http://www.24horas.cl/nacional/mujer-muere-asesinada-por-ex-pareja-en-el-septimo-femicidio-de-2017-2328768" TargetMode="External"/><Relationship Id="rId57" Type="http://schemas.openxmlformats.org/officeDocument/2006/relationships/hyperlink" Target="http://www.24horas.cl/nacional/limache-encuentran-a-pareja-muerta-al-interior-de-un-hogar-2343880" TargetMode="External"/><Relationship Id="rId262" Type="http://schemas.openxmlformats.org/officeDocument/2006/relationships/hyperlink" Target="http://www.elciudadano.cl/chile/sernameg-y-familiares-presentaron-apelacion-a-dictamen-que-mantiene-a-imputado-por-femicidio-en-libertad2016/10/11/" TargetMode="External"/><Relationship Id="rId283" Type="http://schemas.openxmlformats.org/officeDocument/2006/relationships/hyperlink" Target="http://www.observador.cl/6609-femicidio_en_rinconada_de_los_andes_le_dispar_en_la_cara_a_su_mujer_y_se_suicid" TargetMode="External"/><Relationship Id="rId318" Type="http://schemas.openxmlformats.org/officeDocument/2006/relationships/hyperlink" Target="https://www.elciudadano.cl/organizacion-social/nuevo-asesinato-de-joven-lesbiana-pone-en-alerta-a-las-agrupaciones-feministas/03/24/" TargetMode="External"/><Relationship Id="rId339" Type="http://schemas.openxmlformats.org/officeDocument/2006/relationships/hyperlink" Target="http://www.cooperativa.cl/noticias/pais/policial/femicidio/en-prision-preventiva-quedo-sospechoso-del-femicidio-de-su-pareja-en/2016-09-04/141439.html" TargetMode="External"/><Relationship Id="rId78" Type="http://schemas.openxmlformats.org/officeDocument/2006/relationships/hyperlink" Target="http://www.newsjs.com/cl/femicidio-en-rancagua-joven-asesina-a-su-polola-y-luego-se-quita-la-vida/dpKmJSdh-V7-ioMJtB5jxz3BA5HJM/" TargetMode="External"/><Relationship Id="rId99" Type="http://schemas.openxmlformats.org/officeDocument/2006/relationships/hyperlink" Target="http://www.diarioeldia.cl/policial/coquimbo/asesinada-punaladas-muere-mujer-manos-su-pareja-en-tierras-blancas" TargetMode="External"/><Relationship Id="rId101" Type="http://schemas.openxmlformats.org/officeDocument/2006/relationships/hyperlink" Target="http://lanacion.cl/2017/05/06/mujer-de-60-anos-se-convirtio-en-nueva-victima-de-femicidio/" TargetMode="External"/><Relationship Id="rId122" Type="http://schemas.openxmlformats.org/officeDocument/2006/relationships/hyperlink" Target="http://www.latercera.com/noticia/hombre-asfixio-pareja-recoleta-quedo-prision-preventiva/" TargetMode="External"/><Relationship Id="rId143" Type="http://schemas.openxmlformats.org/officeDocument/2006/relationships/hyperlink" Target="http://www.minmujeryeg.cl/prensa/noticias-prensa/nacional-noticias/ministra-pascual-tomado-contacto-la-familia-le-daremos-apoyo-legal-sicologico-requieran/" TargetMode="External"/><Relationship Id="rId164" Type="http://schemas.openxmlformats.org/officeDocument/2006/relationships/hyperlink" Target="https://www.publimetro.cl/cl/noticias/2017/09/09/pdi-investiga-la-muerte-una-mujer-27-anos-sector-cuz-cuz-ilapel.html" TargetMode="External"/><Relationship Id="rId185" Type="http://schemas.openxmlformats.org/officeDocument/2006/relationships/hyperlink" Target="http://www.soychile.cl/Santiago/Sociedad/2017/10/30/495869/SernamEG-condeno-femicidio-en-Puente-Alto-Victimas-como-Muriel-no-son-solo-cifras.aspx" TargetMode="External"/><Relationship Id="rId350" Type="http://schemas.openxmlformats.org/officeDocument/2006/relationships/hyperlink" Target="https://m.facebook.com/niunamenoschile/posts/2121535071406628" TargetMode="External"/><Relationship Id="rId371" Type="http://schemas.openxmlformats.org/officeDocument/2006/relationships/hyperlink" Target="http://www.emol.com/noticias/Nacional/2016/10/17/826864/Nuevo-femicicio-en-Puerto-Montt-Mujer-murio-tras-ser-atacada-presuntamente-por-su-pareja.html" TargetMode="External"/><Relationship Id="rId9" Type="http://schemas.openxmlformats.org/officeDocument/2006/relationships/hyperlink" Target="https://www.noticiasfides.com/nacional/seguridad/la-primera-victima-de-feminicidio-en-chile-en-lo-que-va-del-ano-es-una-boliviana-374886" TargetMode="External"/><Relationship Id="rId210" Type="http://schemas.openxmlformats.org/officeDocument/2006/relationships/hyperlink" Target="http://www.biobiochile.cl/noticias/nacional/region-de-los-rios/2017/12/08/carabineros-busca-a-persona-acusada-de-asesinar-a-hombre-en-los-rios.shtml" TargetMode="External"/><Relationship Id="rId392" Type="http://schemas.openxmlformats.org/officeDocument/2006/relationships/hyperlink" Target="https://www.elespectador.com/noticias/elmundo/mujer-de-54-anos-victima-numero-31-de-feminicidio-chile-articulo-665714" TargetMode="External"/><Relationship Id="rId26" Type="http://schemas.openxmlformats.org/officeDocument/2006/relationships/hyperlink" Target="http://www.adnradio.cl/noticias/nacional/investigan-posible-femicidio-en-la-pintana/20170215/nota/3384238.aspx" TargetMode="External"/><Relationship Id="rId231" Type="http://schemas.openxmlformats.org/officeDocument/2006/relationships/hyperlink" Target="http://www.eldinamo.cl/nacional/2016/02/25/femicidio-lago-ranco-valdivia/" TargetMode="External"/><Relationship Id="rId252" Type="http://schemas.openxmlformats.org/officeDocument/2006/relationships/hyperlink" Target="http://www.24horas.cl/nacional/la-historia-de-la-joven-descuartizada-y-arrojada-al-mapocho-1956057" TargetMode="External"/><Relationship Id="rId273" Type="http://schemas.openxmlformats.org/officeDocument/2006/relationships/hyperlink" Target="http://eltipografo.cl/2016/03/decretan-prision-preventiva-para-imputado-por-femicidio-en-paredones/" TargetMode="External"/><Relationship Id="rId294" Type="http://schemas.openxmlformats.org/officeDocument/2006/relationships/hyperlink" Target="http://www.soychile.cl/Santiago/Policial/2016/05/13/393152/PDI-detiene-a-presunto-autor-de-femicidio-en-Pudahuel.aspx" TargetMode="External"/><Relationship Id="rId308" Type="http://schemas.openxmlformats.org/officeDocument/2006/relationships/hyperlink" Target="https://www.publimetro.cl/cl/nacional/2016/05/30/femicidio-formalizan-mujer-que-mato-polola-quedo-prision-preventiva.html" TargetMode="External"/><Relationship Id="rId329" Type="http://schemas.openxmlformats.org/officeDocument/2006/relationships/hyperlink" Target="http://www.sitioandino.com.ar/n/207751/" TargetMode="External"/><Relationship Id="rId47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68" Type="http://schemas.openxmlformats.org/officeDocument/2006/relationships/hyperlink" Target="http://www.biobiochile.cl/noticias/nacional/chile/2017/04/07/formalizan-a-hombre-acusado-de-femicidio-en-antofagasta.shtml" TargetMode="External"/><Relationship Id="rId89" Type="http://schemas.openxmlformats.org/officeDocument/2006/relationships/hyperlink" Target="http://www.minmujeryeg.cl/prensa/noticias-prensa/nacional-noticias/ministra-pascual-femicidio-rancagua-las-victimas-femicidios-pais-reflejo-la-violencia-machista-todos-todas-debemos-erradicar/" TargetMode="External"/><Relationship Id="rId112" Type="http://schemas.openxmlformats.org/officeDocument/2006/relationships/hyperlink" Target="http://www.emol.com/noticias/Nacional/2017/05/14/858282/Detiene-a-hombre-de-33-anos-acusado-de-matar-a-su-pareja-e-hijo-en-San-Francisco-de-Mostazal.html" TargetMode="External"/><Relationship Id="rId133" Type="http://schemas.openxmlformats.org/officeDocument/2006/relationships/hyperlink" Target="http://www.eldesconcierto.cl/2017/06/08/ya-van-35-femicidios-en-el-ano-mujer-y-su-hija-en-la-araucania-son-las-nuevas-victimas/" TargetMode="External"/><Relationship Id="rId154" Type="http://schemas.openxmlformats.org/officeDocument/2006/relationships/hyperlink" Target="http://www.vivimoslanoticia.cl/curico/hombre-asesina-a-ex-pareja-y-luego-se-quita-la-vida-en-lontue/" TargetMode="External"/><Relationship Id="rId175" Type="http://schemas.openxmlformats.org/officeDocument/2006/relationships/hyperlink" Target="https://reportechile.net/2017/10/hombre-mato-a-su-conviviente-y-se-suicido-en-san-fernando/" TargetMode="External"/><Relationship Id="rId340" Type="http://schemas.openxmlformats.org/officeDocument/2006/relationships/hyperlink" Target="https://www.publimetro.cl/cl/noticias/2017/12/26/la-justicia-llego-cadena-perpetua-autor-femicidio-renca.html" TargetMode="External"/><Relationship Id="rId361" Type="http://schemas.openxmlformats.org/officeDocument/2006/relationships/hyperlink" Target="http://www.cooperativa.cl/noticias/pais/policial/femicidio/nuevo-femicidio-hombre-mato-a-su-ex-pareja-en-colina/2016-10-09/124724.html" TargetMode="External"/><Relationship Id="rId196" Type="http://schemas.openxmlformats.org/officeDocument/2006/relationships/hyperlink" Target="http://www.latercera.com/noticia/detienen-hombre-sospechoso-apunalar-pareja/" TargetMode="External"/><Relationship Id="rId200" Type="http://schemas.openxmlformats.org/officeDocument/2006/relationships/hyperlink" Target="http://segundoenfoque.com/venezolana-se-convirtio-la-quinta-victima-extranjera-feminicidio-chile-2017-11-06" TargetMode="External"/><Relationship Id="rId382" Type="http://schemas.openxmlformats.org/officeDocument/2006/relationships/hyperlink" Target="http://www.eldesconcierto.cl/2016/11/02/una-mas-encuentran-muerta-a-mujer-de-27-anos-desaparecida-en-el-monte/" TargetMode="External"/><Relationship Id="rId16" Type="http://schemas.openxmlformats.org/officeDocument/2006/relationships/hyperlink" Target="http://www.diarioelcentro.cl/noticias/policial/primer-femicidio-del-ano-se-registro-ayer-en-carrizal" TargetMode="External"/><Relationship Id="rId221" Type="http://schemas.openxmlformats.org/officeDocument/2006/relationships/hyperlink" Target="http://www.chvnoticias.cl/policial/hombre-asesino-a-su-pareja-por-celos-en-independencia/2016-01-02/135925.html" TargetMode="External"/><Relationship Id="rId242" Type="http://schemas.openxmlformats.org/officeDocument/2006/relationships/hyperlink" Target="https://www.laizquierdadiario.cl/Brutal-femicidio-de-profesora-en-Antofagasta" TargetMode="External"/><Relationship Id="rId263" Type="http://schemas.openxmlformats.org/officeDocument/2006/relationships/hyperlink" Target="https://www.diarioconcepcion.cl/ciudad/2016/10/13/corte-ordena-prision-preventiva-para-imputado-de-primer-femicidio-del-ano.html" TargetMode="External"/><Relationship Id="rId284" Type="http://schemas.openxmlformats.org/officeDocument/2006/relationships/hyperlink" Target="http://www.cooperativa.cl/noticias/pais/policial/femicidio/prision-preventiva-para-acusado-de-matar-a-su-pareja-a-martillazos-en/2016-03-29/163223.html" TargetMode="External"/><Relationship Id="rId319" Type="http://schemas.openxmlformats.org/officeDocument/2006/relationships/hyperlink" Target="http://www.soychile.cl/Calama/Policial/2016/07/27/408238/Parricidio-en-Calama-Hombre-asesino-a-su-esposa-e-hija.aspx" TargetMode="External"/><Relationship Id="rId37" Type="http://schemas.openxmlformats.org/officeDocument/2006/relationships/hyperlink" Target="http://www.diarioelcentro.cl/noticias/cronica/femicidio-en-molina-familia-de-victima-exige-un-castigo-ejemplar" TargetMode="External"/><Relationship Id="rId58" Type="http://schemas.openxmlformats.org/officeDocument/2006/relationships/hyperlink" Target="http://www.elmostrador.cl/noticias/pais/2017/04/05/mujer-de-30-anos-se-convierte-en-la-victima-12-de-feminicidio-en-lo-que-va-del-ano/" TargetMode="External"/><Relationship Id="rId79" Type="http://schemas.openxmlformats.org/officeDocument/2006/relationships/hyperlink" Target="http://lanoticiaonline.cl/primer-femicidio-del-ano-en-la-sexta-region/" TargetMode="External"/><Relationship Id="rId102" Type="http://schemas.openxmlformats.org/officeDocument/2006/relationships/hyperlink" Target="http://www.diariolaregion.cl/portal/?p=46584" TargetMode="External"/><Relationship Id="rId123" Type="http://schemas.openxmlformats.org/officeDocument/2006/relationships/hyperlink" Target="http://www.latercera.com/noticia/femicidio-6/" TargetMode="External"/><Relationship Id="rId144" Type="http://schemas.openxmlformats.org/officeDocument/2006/relationships/hyperlink" Target="https://www.publimetro.cl/cl/noticias/2017/08/10/femicidio-santiago-detienen-hombre-ataco-arma-blanca-pareja.html" TargetMode="External"/><Relationship Id="rId330" Type="http://schemas.openxmlformats.org/officeDocument/2006/relationships/hyperlink" Target="https://www.infobae.com/sociedad/2016/08/13/mataron-a-una-argentina-en-chile-e-imputaron-a-su-esposo/" TargetMode="External"/><Relationship Id="rId90" Type="http://schemas.openxmlformats.org/officeDocument/2006/relationships/hyperlink" Target="https://www.cooperativa.cl/noticias/pais/policial/pdi-busca-a-ex-pareja-de-joven-que-aparecio-colgada-en-canete-es/2017-05-02/122658.html" TargetMode="External"/><Relationship Id="rId165" Type="http://schemas.openxmlformats.org/officeDocument/2006/relationships/hyperlink" Target="http://www.diarioeldia.cl/policial/confuso-incidente-deja-mujer-fallecida-adulto-mayor-herido-en-illapel" TargetMode="External"/><Relationship Id="rId186" Type="http://schemas.openxmlformats.org/officeDocument/2006/relationships/hyperlink" Target="http://www.cooperativa.cl/noticias/pais/policial/carabineros-detuvo-a-hombre-acusado-de-femicidio-en-puente-alto/2017-10-30/033815.html" TargetMode="External"/><Relationship Id="rId351" Type="http://schemas.openxmlformats.org/officeDocument/2006/relationships/hyperlink" Target="http://www.biobiochile.cl/noticias/nacional/chile/2016/10/07/detienen-a-subinspector-de-la-pdi-por-la-muerte-de-su-pareja-en-la-cisterna.shtml" TargetMode="External"/><Relationship Id="rId372" Type="http://schemas.openxmlformats.org/officeDocument/2006/relationships/hyperlink" Target="http://www.latribuna.cl/noticia.php?id=MTI4NzM=" TargetMode="External"/><Relationship Id="rId393" Type="http://schemas.openxmlformats.org/officeDocument/2006/relationships/hyperlink" Target="https://www.elciudadano.cl/chile/profesora-de-55-anos-fue-victima-de-femicidio-en-coronel/11/16/" TargetMode="External"/><Relationship Id="rId211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232" Type="http://schemas.openxmlformats.org/officeDocument/2006/relationships/hyperlink" Target="http://www.mqltv.com/eldiariodecopano-nabila-rifo-y-femicidios-en-chile/" TargetMode="External"/><Relationship Id="rId253" Type="http://schemas.openxmlformats.org/officeDocument/2006/relationships/hyperlink" Target="http://www.24horas.cl/nacional/mujer-de-maipu-es-la-quinta-victima-de-femicidio-del-2016-1952357" TargetMode="External"/><Relationship Id="rId274" Type="http://schemas.openxmlformats.org/officeDocument/2006/relationships/hyperlink" Target="http://www.cooperativa.cl/noticias/pais/policial/femicidio/dos-nuevos-femicidios-enlutan-la-celebracion-del-dia-de-la-mujer/2016-03-08/213535.html" TargetMode="External"/><Relationship Id="rId295" Type="http://schemas.openxmlformats.org/officeDocument/2006/relationships/hyperlink" Target="http://www.24horas.cl/nacional/encuentran-cuerpo-de-victima-de-femicidio-oculto-en-el-local-donde-trabajaba-2014973" TargetMode="External"/><Relationship Id="rId309" Type="http://schemas.openxmlformats.org/officeDocument/2006/relationships/hyperlink" Target="http://www.lacuarta.com/noticia/ministerio-de-la-mujer-incluye-como-femicidio-crimen-entre-pareja-lesbiana/" TargetMode="External"/><Relationship Id="rId27" Type="http://schemas.openxmlformats.org/officeDocument/2006/relationships/hyperlink" Target="http://www.24horas.cl/nacional/la-celebracion-previa-a-la-muerte-de-joven-pareja-en-la-pintana-2301666" TargetMode="External"/><Relationship Id="rId48" Type="http://schemas.openxmlformats.org/officeDocument/2006/relationships/hyperlink" Target="http://www.latercera.com/noticia/nuevo-femicidio-sujeto-mata-pareja-luego-se-suicida-san-bernardo/" TargetMode="External"/><Relationship Id="rId69" Type="http://schemas.openxmlformats.org/officeDocument/2006/relationships/hyperlink" Target="http://www.chvnoticias.cl/policial/carabineros-detuvo-a-principal-sospechoso-de-femicidio-en-dalcahue/2017-04-08/163913.html" TargetMode="External"/><Relationship Id="rId113" Type="http://schemas.openxmlformats.org/officeDocument/2006/relationships/hyperlink" Target="http://www.chvnoticias.cl/policial/mato-a-su-mujer-embarazada-y-a-su-hijo-adolescente-en-feroz-parricidio/2017-05-14/170722.html" TargetMode="External"/><Relationship Id="rId134" Type="http://schemas.openxmlformats.org/officeDocument/2006/relationships/hyperlink" Target="https://www.cooperativa.cl/noticias/pais/policial/femicidio/carabineros-detuvo-a-presunto-autor-de-femicidio-en-san-bernardo/2017-06-13/215823.html" TargetMode="External"/><Relationship Id="rId320" Type="http://schemas.openxmlformats.org/officeDocument/2006/relationships/hyperlink" Target="http://larepublica.pe/sociedad/959767-asesina-a-su-esposa-y-a-su-hija-cuando-dormian-y-luego-intenta-suicidarse" TargetMode="External"/><Relationship Id="rId80" Type="http://schemas.openxmlformats.org/officeDocument/2006/relationships/hyperlink" Target="http://lanacion.cl/2017/04/16/hombre-mato-a-su-esposa-con-un-hachazo-y-se-entrego-a-carabineros/" TargetMode="External"/><Relationship Id="rId155" Type="http://schemas.openxmlformats.org/officeDocument/2006/relationships/hyperlink" Target="http://www.biobiochile.cl/noticias/nacional/region-de-aysen/2017/08/31/investigan-femicidio-en-aysen-joven-madre-fue-hallada-muerta-y-policia-busca-a-su-pareja.shtml" TargetMode="External"/><Relationship Id="rId176" Type="http://schemas.openxmlformats.org/officeDocument/2006/relationships/hyperlink" Target="http://www.elchelenko.cl/2017/10/encuentran-el-cuerpo-sin-vida-de-mujer.html" TargetMode="External"/><Relationship Id="rId197" Type="http://schemas.openxmlformats.org/officeDocument/2006/relationships/hyperlink" Target="http://www.biobiochile.cl/noticias/nacional/region-metropolitana/2017/11/05/hombre-fue-Detenido-por-matar-a-su-pareja-en-santiago-es-el-femicidio-35-durante-2017.shtml" TargetMode="External"/><Relationship Id="rId341" Type="http://schemas.openxmlformats.org/officeDocument/2006/relationships/hyperlink" Target="https://tn.com.ar/policiales/una-argentina-fue-apunalada-por-su-pareja-en-chile_711850" TargetMode="External"/><Relationship Id="rId362" Type="http://schemas.openxmlformats.org/officeDocument/2006/relationships/hyperlink" Target="http://www.elrepuertero.cl/noticia/sociedad/murio-la-mujer-apunalada-por-su-pareja-en-notaria-de-puerto-montt-deja-4-hijos" TargetMode="External"/><Relationship Id="rId383" Type="http://schemas.openxmlformats.org/officeDocument/2006/relationships/hyperlink" Target="http://www.biobiochile.cl/noticias/nacional/region-de-valparaiso/2016/11/04/femicidio-en-quillota-joven-embarazada-fue-estrangulada-por-su-pareja.shtml" TargetMode="External"/><Relationship Id="rId201" Type="http://schemas.openxmlformats.org/officeDocument/2006/relationships/hyperlink" Target="http://www.ntn24.com/noticia/mujer-venezolana-muere-asesinada-de-13-punaladas-por-su-pareja-en-chile-157175" TargetMode="External"/><Relationship Id="rId222" Type="http://schemas.openxmlformats.org/officeDocument/2006/relationships/hyperlink" Target="http://www.emol.com/noticias/Nacional/2016/01/02/766464/PDI-investiga-nuevo-femicidio-en-la-comuna-de-Recoleta.html" TargetMode="External"/><Relationship Id="rId243" Type="http://schemas.openxmlformats.org/officeDocument/2006/relationships/hyperlink" Target="http://www.chvnoticias.cl/policial/mato-a-su-esposa-y-paseo-su-cuerpo-en-el-asiento-de-copiloto/2016-03-03/212315.html" TargetMode="External"/><Relationship Id="rId264" Type="http://schemas.openxmlformats.org/officeDocument/2006/relationships/hyperlink" Target="http://www.cooperativa.cl/noticias/pais/policial/femicidio/en-talcahuano-ocurrio-el-septimo-femicidio-del-ano/2016-03-07/201131.html" TargetMode="External"/><Relationship Id="rId285" Type="http://schemas.openxmlformats.org/officeDocument/2006/relationships/hyperlink" Target="http://www.24horas.cl/nacional/impacto-por-femicidio-en-quillon-matan-a-mujer-a-martillazos-1970535" TargetMode="External"/><Relationship Id="rId17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://www.eldiario.ec/lamarea/noticias-manta-ecuador/426224-una-joven-de-24-anos-es-la-nueva-victima-de-feminicidio-en-chile/" TargetMode="External"/><Relationship Id="rId59" Type="http://schemas.openxmlformats.org/officeDocument/2006/relationships/hyperlink" Target="http://www.canal74.cl/2017/04/labocar-de-carabineros-investiga-femicidio-en-la-comuna-de-limache/" TargetMode="External"/><Relationship Id="rId103" Type="http://schemas.openxmlformats.org/officeDocument/2006/relationships/hyperlink" Target="http://www.biobiochile.cl/noticias/nacional/region-de-coquimbo/2017/05/06/ministra-pascual-condena-presunto-femicidio-en-coquimbo-y-anuncia-apoyo-a-familiares.shtml" TargetMode="External"/><Relationship Id="rId124" Type="http://schemas.openxmlformats.org/officeDocument/2006/relationships/hyperlink" Target="https://elcomercio.pe/peru/ancash/justicia-chilena-dicta-prision-preventiva-asesino-chimbotana-432930" TargetMode="External"/><Relationship Id="rId310" Type="http://schemas.openxmlformats.org/officeDocument/2006/relationships/hyperlink" Target="http://www.biobiochile.cl/noticias/nacional/region-metropolitana/2017/07/12/imputada-por-asesinar-a-su-polola-en-santiago-realizo-reconstitucion-de-escena-en-libertad.shtml" TargetMode="External"/><Relationship Id="rId70" Type="http://schemas.openxmlformats.org/officeDocument/2006/relationships/hyperlink" Target="http://laopiniondechiloe.cl/la-violenta-historia-de-oriundos-de-osorno-tras-virtual-femicidio-en-dalcahue/" TargetMode="External"/><Relationship Id="rId91" Type="http://schemas.openxmlformats.org/officeDocument/2006/relationships/hyperlink" Target="http://www.puranoticia.cl/noticias/regiones/ambos-ahorcados-el-macabro-hecho-que-conmociona-a-canete/2017-05-02/140852.html" TargetMode="External"/><Relationship Id="rId145" Type="http://schemas.openxmlformats.org/officeDocument/2006/relationships/hyperlink" Target="http://www.emol.com/noticias/Nacional/2017/08/11/870638/Carabineros-detuvo-a-un-hombre-por-nuevo-caso-de-femicidio-en-Santiago-Centro.html" TargetMode="External"/><Relationship Id="rId166" Type="http://schemas.openxmlformats.org/officeDocument/2006/relationships/hyperlink" Target="http://www.diarioeldia.cl/policial/hombre-acusado-dar-muerte-mujer-en-illapel-se-quito-vida" TargetMode="External"/><Relationship Id="rId187" Type="http://schemas.openxmlformats.org/officeDocument/2006/relationships/hyperlink" Target="http://puentealtoaldia.cl/2017/10/30/brutal-femicidio-protagonizo-sujeto-de-22-anos/" TargetMode="External"/><Relationship Id="rId331" Type="http://schemas.openxmlformats.org/officeDocument/2006/relationships/hyperlink" Target="http://www.biobiochile.cl/noticias/nacional/chile/2016/08/20/mujer-muere-baleada-por-pareja-en-padre-hurtado-hombre-dice-que-la-confundio-con-ladron.shtml" TargetMode="External"/><Relationship Id="rId352" Type="http://schemas.openxmlformats.org/officeDocument/2006/relationships/hyperlink" Target="http://www.chvnoticias.cl/policial/funcionario-pdi-fue-detenido-por-presunto-femicidio/2016-10-08/212155.html" TargetMode="External"/><Relationship Id="rId373" Type="http://schemas.openxmlformats.org/officeDocument/2006/relationships/hyperlink" Target="http://www.biobiochile.cl/noticias/nacional/region-del-bio-bio/2016/10/21/detienen-a-un-hombre-acusado-de-asesinar-a-mujer-desaparecida-en-laja.shtml" TargetMode="External"/><Relationship Id="rId394" Type="http://schemas.openxmlformats.org/officeDocument/2006/relationships/hyperlink" Target="http://www.eldesconcierto.cl/2016/11/22/dos-nuevos-femicidios-en-calama-y-nunoa-elevan-a-50-las-victimas-durante-2016/" TargetMode="External"/><Relationship Id="rId1" Type="http://schemas.openxmlformats.org/officeDocument/2006/relationships/hyperlink" Target="http://elproa.cl/web/detallenoticia.asp?id=21793" TargetMode="External"/><Relationship Id="rId212" Type="http://schemas.openxmlformats.org/officeDocument/2006/relationships/hyperlink" Target="http://tvcanal5.cl/liquine-sujeto-asesino-a-su-ex-pareja-y-al-conviviente-de-la-mujer-y-luego-escapo-hacia-la-frontera/" TargetMode="External"/><Relationship Id="rId233" Type="http://schemas.openxmlformats.org/officeDocument/2006/relationships/hyperlink" Target="http://www.quieroelegir.cl/la-cruda-historia-del-ultimo-femicidio-en-chile/" TargetMode="External"/><Relationship Id="rId254" Type="http://schemas.openxmlformats.org/officeDocument/2006/relationships/hyperlink" Target="http://www.emol.com/noticias/Nacional/2016/03/06/791594/El-quinto-femicidio-del-ano-Mato-a-su-pareja-y-luego-se-quito-la-vida.html" TargetMode="External"/><Relationship Id="rId28" Type="http://schemas.openxmlformats.org/officeDocument/2006/relationships/hyperlink" Target="https://eldiario.news/nacional/indagan_posible_femicidio_y_posterior_suicidio_en_la_pintana" TargetMode="External"/><Relationship Id="rId49" Type="http://schemas.openxmlformats.org/officeDocument/2006/relationships/hyperlink" Target="https://www.efe.com/efe/america/sociedad/una-mujer-de-48-anos-es-la-decima-victima-feminicidio-en-chile-2017/20000013-3224955" TargetMode="External"/><Relationship Id="rId114" Type="http://schemas.openxmlformats.org/officeDocument/2006/relationships/hyperlink" Target="http://lanacion.cl/2017/05/14/nuevo-caso-de-femicidio-y-parricidio-en-san-francisco-de-mostazal/" TargetMode="External"/><Relationship Id="rId275" Type="http://schemas.openxmlformats.org/officeDocument/2006/relationships/hyperlink" Target="http://tiempo21araucania.cl/femicidio-y-posterior-suicidio-en-consultorio-remece-a-renaico/" TargetMode="External"/><Relationship Id="rId296" Type="http://schemas.openxmlformats.org/officeDocument/2006/relationships/hyperlink" Target="http://www.adnradio.cl/noticias/nacional/femicidio-en-pudahuel-hombre-confeso-haber-asesinado-a-su-pareja-de-54-anos/20160513/nota/3132164.aspx" TargetMode="External"/><Relationship Id="rId300" Type="http://schemas.openxmlformats.org/officeDocument/2006/relationships/hyperlink" Target="http://www.24horas.cl/nacional/femicidio-en-paine-hombre-dispara-con-una-escopeta-contra-su-pareja-2027212" TargetMode="External"/><Relationship Id="rId60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81" Type="http://schemas.openxmlformats.org/officeDocument/2006/relationships/hyperlink" Target="http://www.eldesconcierto.cl/2017/04/16/brutal-femicidio-en-tome-hombre-mato-de-un-hachazo-a-su-esposa/" TargetMode="External"/><Relationship Id="rId135" Type="http://schemas.openxmlformats.org/officeDocument/2006/relationships/hyperlink" Target="http://www.chvnoticias.cl/policial/detuvieron-a-responsable-del-homicidio-a-una-mujer-en-san-bernardo/2017-06-14/065502.html" TargetMode="External"/><Relationship Id="rId156" Type="http://schemas.openxmlformats.org/officeDocument/2006/relationships/hyperlink" Target="http://www.eldivisadero.cl/noticia-44584" TargetMode="External"/><Relationship Id="rId177" Type="http://schemas.openxmlformats.org/officeDocument/2006/relationships/hyperlink" Target="http://www.eldivisadero.cl/noticia-45286" TargetMode="External"/><Relationship Id="rId198" Type="http://schemas.openxmlformats.org/officeDocument/2006/relationships/hyperlink" Target="http://www.adnradio.cl/noticias/nacional/nuevo-femicidio-en-chile-hombre-mato-a-su-pareja-con-un-arma-blanca/20171105/nota/3628750.aspx" TargetMode="External"/><Relationship Id="rId321" Type="http://schemas.openxmlformats.org/officeDocument/2006/relationships/hyperlink" Target="http://radiouno.pe/noticias/56710/categorias.php" TargetMode="External"/><Relationship Id="rId342" Type="http://schemas.openxmlformats.org/officeDocument/2006/relationships/hyperlink" Target="https://www.publimetro.cl/cl/nacional/2016/09/07/caso-femicidio-hualqui-mujer-asesinada-pareja-dia-cumpleanos.html" TargetMode="External"/><Relationship Id="rId363" Type="http://schemas.openxmlformats.org/officeDocument/2006/relationships/hyperlink" Target="http://www.emol.com/noticias/Nacional/2016/10/13/826268/Murio-joven-colombiana-apunalada-por-su-pareja-en-una-notaria-de-Puerto-Montt.html" TargetMode="External"/><Relationship Id="rId384" Type="http://schemas.openxmlformats.org/officeDocument/2006/relationships/hyperlink" Target="http://www.t13.cl/noticia/nacional/joven-embarazada-es-estrangulada-su-pareja-quillota" TargetMode="External"/><Relationship Id="rId202" Type="http://schemas.openxmlformats.org/officeDocument/2006/relationships/hyperlink" Target="http://www.biobiochile.cl/noticias/nacional/region-de-los-rios/2017/11/21/formalizan-a-hombre-acusado-de-femicidio-en-valdivia-arriesga-hasta-15-anos-de-carcel.shtml" TargetMode="External"/><Relationship Id="rId223" Type="http://schemas.openxmlformats.org/officeDocument/2006/relationships/hyperlink" Target="http://femicidioschile.blogspot.com/2016/03/femicidio-n-2.html" TargetMode="External"/><Relationship Id="rId244" Type="http://schemas.openxmlformats.org/officeDocument/2006/relationships/hyperlink" Target="http://www.24horas.cl/nacional/mujer-de-antofagasta-es-la-cuarta-victima-de-femicidio-en-el-ano-1949649" TargetMode="External"/><Relationship Id="rId18" Type="http://schemas.openxmlformats.org/officeDocument/2006/relationships/hyperlink" Target="http://www.edicioncero.cl/2017/02/ministerio-de-la-mujer-el-femicidio-es-un-crimen-que-se-puede-evitar/" TargetMode="External"/><Relationship Id="rId39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265" Type="http://schemas.openxmlformats.org/officeDocument/2006/relationships/hyperlink" Target="http://www.eldinamo.cl/nacional/2016/03/08/femicidio-chile-septimo-femicidio/" TargetMode="External"/><Relationship Id="rId286" Type="http://schemas.openxmlformats.org/officeDocument/2006/relationships/hyperlink" Target="http://www.soychile.cl/Chillan/Policial/2017/06/02/467735/Declaran-culpable-a-imputado-por-femicidio-de-vendedora-ambulante-en-Quillon.aspx" TargetMode="External"/><Relationship Id="rId50" Type="http://schemas.openxmlformats.org/officeDocument/2006/relationships/hyperlink" Target="http://www.24horas.cl/nacional/integra-emite-declaracion-publica-tras-femicidio-de-funcionaria-de-jardin-infantil-2344076" TargetMode="External"/><Relationship Id="rId104" Type="http://schemas.openxmlformats.org/officeDocument/2006/relationships/hyperlink" Target="http://www.minmujeryeg.gob.cl/prensa/noticias-prensa/noticias-destacadas-home/ministra-claudia-pascual-estamos-tomando-contacto-las-familias-karen-michea-magyory-ponce-ofrecerles-apoyo-psicosocial-legal/" TargetMode="External"/><Relationship Id="rId125" Type="http://schemas.openxmlformats.org/officeDocument/2006/relationships/hyperlink" Target="http://diariodechimbote.com/noticias-anteriores/94851-chimotana-es-asesinada-por-su-esposo-en-chile" TargetMode="External"/><Relationship Id="rId146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67" Type="http://schemas.openxmlformats.org/officeDocument/2006/relationships/hyperlink" Target="http://www.cooperativa.cl/noticias/pais/policial/pdi-investiga-homicidio-de-mujer-en-illapel/2017-09-09/214838.html" TargetMode="External"/><Relationship Id="rId188" Type="http://schemas.openxmlformats.org/officeDocument/2006/relationships/hyperlink" Target="http://www.eldesconcierto.cl/2017/08/31/ministra-claudia-pascual-sobre-mujer-de-vina-del-mar-que-alerto-su-femicidio-no-fue-posible-persistir-en-la-terapia/" TargetMode="External"/><Relationship Id="rId311" Type="http://schemas.openxmlformats.org/officeDocument/2006/relationships/hyperlink" Target="https://laprensaaustral.cl/titular1/murio-joven-madre-brutalmente-agredida-en-la-via-publica/" TargetMode="External"/><Relationship Id="rId332" Type="http://schemas.openxmlformats.org/officeDocument/2006/relationships/hyperlink" Target="http://www.chvnoticias.cl/policial/hombre-de-71-anos-afirma-que-mato-a-su-pareja-por-error/2016-08-20/141051.html" TargetMode="External"/><Relationship Id="rId353" Type="http://schemas.openxmlformats.org/officeDocument/2006/relationships/hyperlink" Target="http://www.ahoranoticias.cl/noticias/nacional/181363-detienen-a-subinspector-de-la-pdi-por-la-muerte-de-su-pareja.html" TargetMode="External"/><Relationship Id="rId374" Type="http://schemas.openxmlformats.org/officeDocument/2006/relationships/hyperlink" Target="http://www.lacuarta.com/noticia/investiga-femicidio-claudia-cruzat/" TargetMode="External"/><Relationship Id="rId395" Type="http://schemas.openxmlformats.org/officeDocument/2006/relationships/hyperlink" Target="http://www.soychile.cl/Calama/Policial/2016/11/23/431387/Femicidio-en-Calama-Mariela-Bolvaran-la-segunda-victima-de-violencia-intrafamiliar-de-este-2016.aspx" TargetMode="External"/><Relationship Id="rId71" Type="http://schemas.openxmlformats.org/officeDocument/2006/relationships/hyperlink" Target="http://www.radioestrelladelmar.cl/?p=11638" TargetMode="External"/><Relationship Id="rId92" Type="http://schemas.openxmlformats.org/officeDocument/2006/relationships/hyperlink" Target="http://www.biobiochile.cl/noticias/nacional/region-del-bio-bio/2017/05/02/investigan-presunto-femicidio-de-joven-de-23-anos-encontrada-en-canete.shtml" TargetMode="External"/><Relationship Id="rId213" Type="http://schemas.openxmlformats.org/officeDocument/2006/relationships/hyperlink" Target="http://www.emol.com/noticias/Nacional/2017/12/09/886636/Hombre-se-dio-a-la-fuga-tras-asesinar-a-su-ex-pareja-y-a-conviviente-en-Los-Rios.html" TargetMode="External"/><Relationship Id="rId234" Type="http://schemas.openxmlformats.org/officeDocument/2006/relationships/hyperlink" Target="https://desdelatorre5.wordpress.com/2016/03/11/mujeres-en-chile-el-amor-las-asesina-y-el-orden-las-golpea/" TargetMode="External"/><Relationship Id="rId2" Type="http://schemas.openxmlformats.org/officeDocument/2006/relationships/hyperlink" Target="http://www.cablenoticias.cl/en-llolleo-un-hombre-asesino-a-su-mujer-y-luego-se-quito-la-vida" TargetMode="External"/><Relationship Id="rId29" Type="http://schemas.openxmlformats.org/officeDocument/2006/relationships/hyperlink" Target="http://www.eldesconcierto.cl/2017/02/23/investigan-posible-femicidio-la-comuna-pemuco/" TargetMode="External"/><Relationship Id="rId255" Type="http://schemas.openxmlformats.org/officeDocument/2006/relationships/hyperlink" Target="http://www.chvnoticias.cl/ultima-mirada/femicidio-y-suicidio-quedo-descubierto-en-maipu/2016-03-06/010443.html" TargetMode="External"/><Relationship Id="rId276" Type="http://schemas.openxmlformats.org/officeDocument/2006/relationships/hyperlink" Target="http://www.collipullense.cl/?p=3481" TargetMode="External"/><Relationship Id="rId297" Type="http://schemas.openxmlformats.org/officeDocument/2006/relationships/hyperlink" Target="http://www.emol.com/noticias/Nacional/2016/05/13/802622/Investigan-el-asesinato-de-una-mujer-en-un-local-en-Pudahuel.html" TargetMode="External"/><Relationship Id="rId40" Type="http://schemas.openxmlformats.org/officeDocument/2006/relationships/hyperlink" Target="http://www.diarioeldia.cl/pais/nuevo-caso-femicidio-hija-menor-encuentra-muertos-sus-padres" TargetMode="External"/><Relationship Id="rId115" Type="http://schemas.openxmlformats.org/officeDocument/2006/relationships/hyperlink" Target="http://www.latercera.com/noticia/brutal-femicidio-remecio-freire/" TargetMode="External"/><Relationship Id="rId136" Type="http://schemas.openxmlformats.org/officeDocument/2006/relationships/hyperlink" Target="http://www.diarioeldia.cl/policial/presunto-autor-femicidio-ocurrido-en-companias-pasara-control-detencion" TargetMode="External"/><Relationship Id="rId157" Type="http://schemas.openxmlformats.org/officeDocument/2006/relationships/hyperlink" Target="https://cl.iurex.com/noticia/femicidio-en-cochrane-este-domingo-formalizan-a-imputado/1385727" TargetMode="External"/><Relationship Id="rId178" Type="http://schemas.openxmlformats.org/officeDocument/2006/relationships/hyperlink" Target="http://www.biobiochile.cl/noticias/nacional/region-de-aysen/2017/10/23/aclaran-asesinato-de-joven-madre-y-posterior-suicido-de-autor-del-crimen-en-coyhaique.shtml" TargetMode="External"/><Relationship Id="rId301" Type="http://schemas.openxmlformats.org/officeDocument/2006/relationships/hyperlink" Target="http://www.biobiochile.cl/noticias/2016/05/26/nuevo-femicidio-hombre-asesino-a-su-mujer-con-una-escopeta-y-se-quito-la-vida-en-paine.shtml" TargetMode="External"/><Relationship Id="rId322" Type="http://schemas.openxmlformats.org/officeDocument/2006/relationships/hyperlink" Target="http://www.biobiochile.cl/noticias/nacional/region-de-antofagasta/2016/08/26/justicia-formaliza-a-acusado-de-matar-a-su-pareja-e-hija-de-tres-anos-en-calama.shtml" TargetMode="External"/><Relationship Id="rId343" Type="http://schemas.openxmlformats.org/officeDocument/2006/relationships/hyperlink" Target="http://www.lanacion.com.ar/1935721-mariela-del-carmen-fernandez-chile-muerte-femicidio" TargetMode="External"/><Relationship Id="rId364" Type="http://schemas.openxmlformats.org/officeDocument/2006/relationships/hyperlink" Target="https://www.laopinion.com.co/mundo/colombiana-fue-asesinada-por-su-esposo-en-una-notaria-de-chile-120784" TargetMode="External"/><Relationship Id="rId61" Type="http://schemas.openxmlformats.org/officeDocument/2006/relationships/hyperlink" Target="http://www.radiovalparaiso.cl/2017/03/31/labocar-investiga-posible-femicidio-posterior-suicidio-del-autor-limache/" TargetMode="External"/><Relationship Id="rId82" Type="http://schemas.openxmlformats.org/officeDocument/2006/relationships/hyperlink" Target="http://elcachapoal.cl/ec/2017/05/08/femicidio-n-14/" TargetMode="External"/><Relationship Id="rId199" Type="http://schemas.openxmlformats.org/officeDocument/2006/relationships/hyperlink" Target="http://www.panorama.com.ve/sucesos/Asesinaron-a-venezolana-en-un-apartamento-en-Santiago-de-Chile-20171105-0041.html" TargetMode="External"/><Relationship Id="rId203" Type="http://schemas.openxmlformats.org/officeDocument/2006/relationships/hyperlink" Target="http://www.biobiochile.cl/noticias/nacional/region-de-los-rios/2017/11/19/femicidio-en-los-rios-hombre-corto-3-veces-el-cuello-de-su-pareja-en-sector-los-dorsales.shtml" TargetMode="External"/><Relationship Id="rId385" Type="http://schemas.openxmlformats.org/officeDocument/2006/relationships/hyperlink" Target="http://www.emol.com/noticias/Nacional/2016/11/04/829754/Femicidio-numero-29-joven-embarazada-es-estrangulada-por-pareja.html" TargetMode="External"/><Relationship Id="rId19" Type="http://schemas.openxmlformats.org/officeDocument/2006/relationships/hyperlink" Target="http://www.atentos.cl/2017/02/05/brutal-femicidio-sujeto-mata-esposa-golpe-hacha-la-cabeza/" TargetMode="External"/><Relationship Id="rId224" Type="http://schemas.openxmlformats.org/officeDocument/2006/relationships/hyperlink" Target="https://www.facebook.com/permalink.php?story_fbid=10153574810408192&amp;id=140943048191" TargetMode="External"/><Relationship Id="rId245" Type="http://schemas.openxmlformats.org/officeDocument/2006/relationships/hyperlink" Target="https://m.facebook.com/groups/957720797599017/?ref=group_header&amp;view=group" TargetMode="External"/><Relationship Id="rId266" Type="http://schemas.openxmlformats.org/officeDocument/2006/relationships/hyperlink" Target="https://www.publimetro.cl/cl/nacional/2016/03/08/victima-postrada-detienen-hombre-que-mato-pareja-talcahuano.html" TargetMode="External"/><Relationship Id="rId287" Type="http://schemas.openxmlformats.org/officeDocument/2006/relationships/hyperlink" Target="http://www.biobiochile.cl/noticias/nacional/region-del-bio-bio/2017/06/07/condenan-a-15-anos-de-carcel-a-hombre-que-asesino-a-su-pareja-con-martillo-en-quillon.shtml" TargetMode="External"/><Relationship Id="rId30" Type="http://schemas.openxmlformats.org/officeDocument/2006/relationships/hyperlink" Target="http://www.ladiscusion.cl/detalle/10722/Investigan-posible-femicidio-en-la-comuna-de-Pemuco" TargetMode="External"/><Relationship Id="rId105" Type="http://schemas.openxmlformats.org/officeDocument/2006/relationships/hyperlink" Target="https://www.portalnoticias.cl/2017/05/15/la-mato-a-golpes-y-dijo-que-habia-sido-un-ataque-de-epilepsia/" TargetMode="External"/><Relationship Id="rId126" Type="http://schemas.openxmlformats.org/officeDocument/2006/relationships/hyperlink" Target="http://rpp.pe/mundo/chile/feminicidio-una-peruana-de-40-anos-fue-asesinada-por-su-pareja-en-chile-noticia-1055540" TargetMode="External"/><Relationship Id="rId147" Type="http://schemas.openxmlformats.org/officeDocument/2006/relationships/hyperlink" Target="http://www.soychile.cl/Santiago/Policial/2017/08/10/481009/Carabineros-sorprendio-a-hombre-cometiendo-un-femicidio-en-Santiago.aspx" TargetMode="External"/><Relationship Id="rId168" Type="http://schemas.openxmlformats.org/officeDocument/2006/relationships/hyperlink" Target="http://www.soychile.cl/Copiapo/Policial/2017/09/09/486509/Mataron-con-una-escopeta-a-mujer-de-27-anos-en-Illapel-tambien-hirieron-a-su-abuelo.aspx" TargetMode="External"/><Relationship Id="rId312" Type="http://schemas.openxmlformats.org/officeDocument/2006/relationships/hyperlink" Target="http://www.biobiochile.cl/noticias/nacional/policial/2016/06/06/buscan-a-autor-de-brutal-muerte-de-joven-madre-en-punta-arenas.shtml" TargetMode="External"/><Relationship Id="rId333" Type="http://schemas.openxmlformats.org/officeDocument/2006/relationships/hyperlink" Target="http://latendencia.cl/2016/08/20/actualidad/nuevo-femicidio-hombre-de-71-anos-asesino-su-pareja-40-anos-menor/" TargetMode="External"/><Relationship Id="rId354" Type="http://schemas.openxmlformats.org/officeDocument/2006/relationships/hyperlink" Target="http://www.ahoranoticias.cl/noticias/nacional/181459-funcionario-de-la-pdi-detenido-por-la-muerte-de-su-pareja-quedo-en-libertad.html" TargetMode="External"/><Relationship Id="rId51" Type="http://schemas.openxmlformats.org/officeDocument/2006/relationships/hyperlink" Target="http://www.latercera.com/noticia/nuevo-femicidio-sujeto-mata-pareja-luego-se-suicida-san-bernardo/" TargetMode="External"/><Relationship Id="rId72" Type="http://schemas.openxmlformats.org/officeDocument/2006/relationships/hyperlink" Target="http://laopiniondechiloe.cl/la-violenta-historia-de-oriundos-de-osorno-tras-virtual-femicidio-en-dalcahue/" TargetMode="External"/><Relationship Id="rId93" Type="http://schemas.openxmlformats.org/officeDocument/2006/relationships/hyperlink" Target="http://www.cooperativa.cl/noticias/pais/policial/pdi-busca-a-ex-pareja-de-joven-que-aparecio-colgada-en-canete-es/2017-05-02/122658.html" TargetMode="External"/><Relationship Id="rId189" Type="http://schemas.openxmlformats.org/officeDocument/2006/relationships/hyperlink" Target="http://www.cooperativa.cl/noticias/pais/policial/mujer-fue-encontrada-muerta-junto-a-su-hija-de-un-ano-en-vina-del-mar/2017-08-28/112209.html" TargetMode="External"/><Relationship Id="rId375" Type="http://schemas.openxmlformats.org/officeDocument/2006/relationships/hyperlink" Target="http://www.chvnoticias.cl/policial/sujeto-confeso-haber-matado-a-mujer-que-era-buscada/2016-10-21/141955.html" TargetMode="External"/><Relationship Id="rId396" Type="http://schemas.openxmlformats.org/officeDocument/2006/relationships/hyperlink" Target="http://www.soychile.cl/Calama/Sociedad/2016/11/24/431526/Mariela-Bolvaran-fue-asesinada-horas-despues-de-titularse-como-maestra-de-cocina.aspx" TargetMode="External"/><Relationship Id="rId3" Type="http://schemas.openxmlformats.org/officeDocument/2006/relationships/hyperlink" Target="http://www.latercera.com/noticia/buscan-presunto-autor-femicidio-melipilla/" TargetMode="External"/><Relationship Id="rId214" Type="http://schemas.openxmlformats.org/officeDocument/2006/relationships/hyperlink" Target="http://www.voceroregional.cl/2017/12/09/ministra-pascual-condeno-femicidio-ocurrido-en-panguipulli/" TargetMode="External"/><Relationship Id="rId235" Type="http://schemas.openxmlformats.org/officeDocument/2006/relationships/hyperlink" Target="https://portal.sernam.cl/img/upoloads/FEMICIDIOS%202016%20al%207_02(1).pdf" TargetMode="External"/><Relationship Id="rId256" Type="http://schemas.openxmlformats.org/officeDocument/2006/relationships/hyperlink" Target="http://www.cooperativa.cl/noticias/pais/policial/femicidio/hombre-asesino-a-su-pareja-con-un-bate-de-beisbol-en-maipu/2016-03-05/223257.html" TargetMode="External"/><Relationship Id="rId277" Type="http://schemas.openxmlformats.org/officeDocument/2006/relationships/hyperlink" Target="https://www.youtube.com/watch?v=q9YO_asKkqw" TargetMode="External"/><Relationship Id="rId298" Type="http://schemas.openxmlformats.org/officeDocument/2006/relationships/hyperlink" Target="http://www.tropezon.cl/2016/05/13/femicidio-encuentran-mujer-muerta-en-pudahuel-rural/" TargetMode="External"/><Relationship Id="rId400" Type="http://schemas.openxmlformats.org/officeDocument/2006/relationships/hyperlink" Target="http://www.biobiochile.cl/noticias/nacional/region-metropolitana/2016/11/22/nuevo-femicidio-en-nunoa-hombre-de-85-anos-acuchillo-a-su-mujer-de-78.shtml" TargetMode="External"/><Relationship Id="rId116" Type="http://schemas.openxmlformats.org/officeDocument/2006/relationships/hyperlink" Target="http://www.cnnchile.com/noticia/2017/05/26/dos-hombres-fueron-formalizados-tras-calcinar-una-mujer-en-freire" TargetMode="External"/><Relationship Id="rId137" Type="http://schemas.openxmlformats.org/officeDocument/2006/relationships/hyperlink" Target="http://www.diarioeldia.cl/policial/hombre-comete-femicidio-luego-intenta-suicidarse-en-serena" TargetMode="External"/><Relationship Id="rId158" Type="http://schemas.openxmlformats.org/officeDocument/2006/relationships/hyperlink" Target="http://www.biobiochile.cl/noticias/nacional/region-metropolitana/2017/09/07/brigada-de-homicidios-confirma-que-cuerpo-encontrado-en-melipilla-corresponde-a-una-mujer.shtml" TargetMode="External"/><Relationship Id="rId302" Type="http://schemas.openxmlformats.org/officeDocument/2006/relationships/hyperlink" Target="http://www.chvnoticias.cl/policial/femicidio-y-posterior-suicidio-se-registro-en-paine/2016-05-27/015514.html" TargetMode="External"/><Relationship Id="rId323" Type="http://schemas.openxmlformats.org/officeDocument/2006/relationships/hyperlink" Target="http://www.americatv.com.pe/noticias/internacionales/chile-joven-peruana-y-su-hija-fueron-asesinadas-punaladas-n240817" TargetMode="External"/><Relationship Id="rId344" Type="http://schemas.openxmlformats.org/officeDocument/2006/relationships/hyperlink" Target="https://www.infobae.com/sociedad/2016/09/08/un-chico-con-sindrome-de-asperger-clave-para-develar-el-femicidio-de-una-argentina-en-chile/" TargetMode="External"/><Relationship Id="rId20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41" Type="http://schemas.openxmlformats.org/officeDocument/2006/relationships/hyperlink" Target="https://www.efe.com/efe/america/sociedad/una-mujer-de-48-anos-es-la-decima-victima-feminicidio-en-chile-2017/20000013-3224955" TargetMode="External"/><Relationship Id="rId62" Type="http://schemas.openxmlformats.org/officeDocument/2006/relationships/hyperlink" Target="http://www.latercera.com/noticia/los-detalles-del-macabro-femicidio-antofagasta-segun-relato-del-fiscal/" TargetMode="External"/><Relationship Id="rId83" Type="http://schemas.openxmlformats.org/officeDocument/2006/relationships/hyperlink" Target="http://lanacion.cl/2017/04/16/amplian-detencion-de-sujeto-que-mato-a-hachazos-a-su-esposa/" TargetMode="External"/><Relationship Id="rId179" Type="http://schemas.openxmlformats.org/officeDocument/2006/relationships/hyperlink" Target="http://www.radioestrelladelmar.cl/?p=13768" TargetMode="External"/><Relationship Id="rId365" Type="http://schemas.openxmlformats.org/officeDocument/2006/relationships/hyperlink" Target="https://www.elheraldo.co/mundo/colombiana-fue-asesinada-de-5-punaladas-por-su-esposo-en-chile-293778" TargetMode="External"/><Relationship Id="rId386" Type="http://schemas.openxmlformats.org/officeDocument/2006/relationships/hyperlink" Target="http://www.eldesconcierto.cl/2016/11/05/niunamenos-femicidio-de-johanna-soto-joven-madre-de-24-anos-causa-conmocion-en-quillota/" TargetMode="External"/><Relationship Id="rId190" Type="http://schemas.openxmlformats.org/officeDocument/2006/relationships/hyperlink" Target="http://www.cooperativa.cl/noticias/pais/policial/sml-golpe-en-el-rostro-provoco-muerte-a-joven-madre-de-vina-del-mar/2017-08-29/224416.html" TargetMode="External"/><Relationship Id="rId204" Type="http://schemas.openxmlformats.org/officeDocument/2006/relationships/hyperlink" Target="http://www.biobiochile.cl/noticias/nacional/region-de-los-rios/2017/11/20/amplian-detencion-de-hombre-acusado-de-asesinar-a-su-expareja-en-valdivia.shtml" TargetMode="External"/><Relationship Id="rId225" Type="http://schemas.openxmlformats.org/officeDocument/2006/relationships/hyperlink" Target="https://www.araucaniacuenta.cl/tag/magdalena-del-rosario-carrillo-levipan/" TargetMode="External"/><Relationship Id="rId246" Type="http://schemas.openxmlformats.org/officeDocument/2006/relationships/hyperlink" Target="http://www.eltiempo.com/archivo/documento/CMS-16532087" TargetMode="External"/><Relationship Id="rId267" Type="http://schemas.openxmlformats.org/officeDocument/2006/relationships/hyperlink" Target="http://www.24horas.cl/nacional/mujer-muere-apunalada-en-el-cuello-por-su-conviviente-en-paredones-1954890" TargetMode="External"/><Relationship Id="rId288" Type="http://schemas.openxmlformats.org/officeDocument/2006/relationships/hyperlink" Target="http://www.biobiochile.cl/noticias/2016/03/26/nuevo-femicidio-en-quillon-hombre-mato-a-su-pareja-con-un-martillo.shtml" TargetMode="External"/><Relationship Id="rId106" Type="http://schemas.openxmlformats.org/officeDocument/2006/relationships/hyperlink" Target="http://www.emol.com/noticias/Nacional/2017/05/23/859564/Cifra-de-femicidios-registra-alza-en-los-primeros-cinco-meses-de-2017-respecto-de-igual-periodo-del-ano-pasado.html" TargetMode="External"/><Relationship Id="rId127" Type="http://schemas.openxmlformats.org/officeDocument/2006/relationships/hyperlink" Target="http://www.chvnoticias.cl/nacional/ex-pareja-seria-responsable-de-femicidio-y-homicidio-en-temuco/2017-06-07/140951.html" TargetMode="External"/><Relationship Id="rId313" Type="http://schemas.openxmlformats.org/officeDocument/2006/relationships/hyperlink" Target="http://elpinguino.com/noticia/2016/06/04/joven-madre-que-fue-brutalmente-golpeada-dejo-de-existir-en-hora-de-esta-tarde" TargetMode="External"/><Relationship Id="rId10" Type="http://schemas.openxmlformats.org/officeDocument/2006/relationships/hyperlink" Target="https://docs.google.com/spreadsheets/d/1OY8YymIGJzEYTBVKwpkGE-vDsYz3rKSjNe1TUj3qt40/edit?ts=588a2a74" TargetMode="External"/><Relationship Id="rId3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52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73" Type="http://schemas.openxmlformats.org/officeDocument/2006/relationships/hyperlink" Target="https://www.epicentrochile.com/2017/04/12/imputado-por-femicidio-en-chiloe-quedo-en-prision-preventiva/" TargetMode="External"/><Relationship Id="rId94" Type="http://schemas.openxmlformats.org/officeDocument/2006/relationships/hyperlink" Target="http://www.24horas.cl/nacional/agresor-se-quita-la-vida-tras-asesinar-a-su-ex-pareja-en-la-octava-region-2371147" TargetMode="External"/><Relationship Id="rId148" Type="http://schemas.openxmlformats.org/officeDocument/2006/relationships/hyperlink" Target="http://www.latercera.com/noticia/femicidio-lontue-hombre-mato-expareja-la-via-publica-luego-se-suicido/" TargetMode="External"/><Relationship Id="rId169" Type="http://schemas.openxmlformats.org/officeDocument/2006/relationships/hyperlink" Target="http://www.24horas.cl/nacional/sujeto-golpeo-con-utensilios-de-cocina-a-ex-pareja-tras-asesinarla-en-nunoa-2522903" TargetMode="External"/><Relationship Id="rId334" Type="http://schemas.openxmlformats.org/officeDocument/2006/relationships/hyperlink" Target="http://emergenciaspuertomontt.cl/joven-fue-encontrada-sin-vida-en-talca-autor-del-femicidio-esta-detenido-y-confeso/" TargetMode="External"/><Relationship Id="rId355" Type="http://schemas.openxmlformats.org/officeDocument/2006/relationships/hyperlink" Target="http://www.soychile.cl/Santiago/Policial/2016/10/08/422547/Enigma-policial-funcionario-de-la-PDI-detenido-por-la-muerte-de-su-esposa.aspx" TargetMode="External"/><Relationship Id="rId376" Type="http://schemas.openxmlformats.org/officeDocument/2006/relationships/hyperlink" Target="https://resumen.cl/articulos/investigan-posible-femicidio-claudia-cruzat-laja" TargetMode="External"/><Relationship Id="rId397" Type="http://schemas.openxmlformats.org/officeDocument/2006/relationships/hyperlink" Target="http://www.prodemu.cl/index.php/declaracion-publica-prodemu/" TargetMode="External"/><Relationship Id="rId4" Type="http://schemas.openxmlformats.org/officeDocument/2006/relationships/hyperlink" Target="https://www.eldeber.com.bo/mundo/Boliviana-primera-victima-de-feminicidio-en-Chile-en-2017--20170126-0034.html" TargetMode="External"/><Relationship Id="rId180" Type="http://schemas.openxmlformats.org/officeDocument/2006/relationships/hyperlink" Target="https://laprensaaustral.cl/nacional/asesinato-y-suicidio-de-una-pareja-estremece-a-comunidad-de-coyhaique/" TargetMode="External"/><Relationship Id="rId215" Type="http://schemas.openxmlformats.org/officeDocument/2006/relationships/hyperlink" Target="https://rioenlinea.cl/2017/12/09/liquine-buscan-a-individuo-que-mato-a-su-ex-pareja-y-al-hombre-que-mantendria-una-relacion-con-ella/" TargetMode="External"/><Relationship Id="rId236" Type="http://schemas.openxmlformats.org/officeDocument/2006/relationships/hyperlink" Target="https://prensa.presidencia.cl/lfi-content/uploads/2016/03/mar082016brm-ceremonia-dia-de-la-mujer-final.pdf" TargetMode="External"/><Relationship Id="rId257" Type="http://schemas.openxmlformats.org/officeDocument/2006/relationships/hyperlink" Target="https://www.diariolasamericas.com/america-latina/hombre-mata-su-mujer-bate-beisbol-6-feminicidio-2016-chile-n3669378" TargetMode="External"/><Relationship Id="rId278" Type="http://schemas.openxmlformats.org/officeDocument/2006/relationships/hyperlink" Target="https://maray.cl/?p=35046" TargetMode="External"/><Relationship Id="rId401" Type="http://schemas.openxmlformats.org/officeDocument/2006/relationships/printerSettings" Target="../printerSettings/printerSettings6.bin"/><Relationship Id="rId303" Type="http://schemas.openxmlformats.org/officeDocument/2006/relationships/hyperlink" Target="http://lanoticiaonline.cl/victima-de-femicidio-en-paine-era-de-rancagua/" TargetMode="External"/><Relationship Id="rId42" Type="http://schemas.openxmlformats.org/officeDocument/2006/relationships/hyperlink" Target="http://www.chvnoticias.cl/policial/nuevo-femicidio-hombre-mato-a-su-pareja-y-luego-se-suicido/2017-03-29/212300.html" TargetMode="External"/><Relationship Id="rId84" Type="http://schemas.openxmlformats.org/officeDocument/2006/relationships/hyperlink" Target="http://www.radioportales.cl/contenido/hombre-mato-de-un-hachazo-a-su-esposa-en-tome/" TargetMode="External"/><Relationship Id="rId138" Type="http://schemas.openxmlformats.org/officeDocument/2006/relationships/hyperlink" Target="http://www.elobservatodo.cl/etiquetas/fidelina-del-carmen-robledo-villalobos" TargetMode="External"/><Relationship Id="rId345" Type="http://schemas.openxmlformats.org/officeDocument/2006/relationships/hyperlink" Target="http://www.cooperativa.cl/noticias/pais/policial/femicidio/femicidio-se-registro-en-la-comuna-de-cerro-navia/2016-09-11/182102.html" TargetMode="External"/><Relationship Id="rId387" Type="http://schemas.openxmlformats.org/officeDocument/2006/relationships/hyperlink" Target="https://www.elciudadano.cl/justicia/chile-hombre-golpeo-a-mujer-hasta-matarla-y-luego-quemo-su-cuerpo/11/09/" TargetMode="External"/><Relationship Id="rId191" Type="http://schemas.openxmlformats.org/officeDocument/2006/relationships/hyperlink" Target="http://www.soychile.cl/Valparaiso/Sociedad/2017/08/29/484361/Mujer-asesinada-en-Vina-habia-interpuesto-tres-denuncias-por-violencia-intrafamiliar.aspx" TargetMode="External"/><Relationship Id="rId205" Type="http://schemas.openxmlformats.org/officeDocument/2006/relationships/hyperlink" Target="http://www.biobiochile.cl/noticias/nacional/region-metropolitana/2017/11/29/registran-nuevo-femicidio-en-lo-espejo-hombre-mato-a-mujer-de-un-disparo-en-el-pecho.shtml" TargetMode="External"/><Relationship Id="rId247" Type="http://schemas.openxmlformats.org/officeDocument/2006/relationships/hyperlink" Target="http://www.biobiochile.cl/noticias/2016/03/09/la-historia-del-descuartizamiento-de-joven-colombiana-y-como-la-pdi-descubrio-al-culpable.shtml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://minmujeryeg.cl/" TargetMode="External"/><Relationship Id="rId117" Type="http://schemas.openxmlformats.org/officeDocument/2006/relationships/hyperlink" Target="http://www.cooperativa.cl/noticias/pais/policial/femicidio/antofagasta-joven-madre-fue-asesinada-por-su-ex-marido/2017-04-05/123641.html" TargetMode="External"/><Relationship Id="rId21" Type="http://schemas.openxmlformats.org/officeDocument/2006/relationships/hyperlink" Target="http://www.ntn24.com/video/nuevo-caso-de-feminicidio-en-chile-130962" TargetMode="External"/><Relationship Id="rId42" Type="http://schemas.openxmlformats.org/officeDocument/2006/relationships/hyperlink" Target="http://t13.cl/" TargetMode="External"/><Relationship Id="rId47" Type="http://schemas.openxmlformats.org/officeDocument/2006/relationships/hyperlink" Target="http://www.latercera.com/noticia/indagan-posible-femicidio-posterior-suicidio-la-pintana/" TargetMode="External"/><Relationship Id="rId63" Type="http://schemas.openxmlformats.org/officeDocument/2006/relationships/hyperlink" Target="http://www.emol.com/noticias/Nacional/2017/02/24/846536/Autoridades-investigan-hallazgo-de-los-cuerpos-de-un-matrimonio-en-Pemuco.html" TargetMode="External"/><Relationship Id="rId68" Type="http://schemas.openxmlformats.org/officeDocument/2006/relationships/hyperlink" Target="http://diarioelcentro.cl/" TargetMode="External"/><Relationship Id="rId84" Type="http://schemas.openxmlformats.org/officeDocument/2006/relationships/hyperlink" Target="http://eldivisadero.cl/" TargetMode="External"/><Relationship Id="rId89" Type="http://schemas.openxmlformats.org/officeDocument/2006/relationships/hyperlink" Target="http://www.latercera.com/noticia/nuevo-femicidio-sujeto-mata-pareja-luego-se-suicida-san-bernardo/" TargetMode="External"/><Relationship Id="rId112" Type="http://schemas.openxmlformats.org/officeDocument/2006/relationships/hyperlink" Target="http://latercera.com/" TargetMode="External"/><Relationship Id="rId133" Type="http://schemas.openxmlformats.org/officeDocument/2006/relationships/hyperlink" Target="http://www.24horas.cl/nacional/femicidio-en-rancagua-joven-asesina-a-su-polola-y-luego-se-quita-la-vida-2352876" TargetMode="External"/><Relationship Id="rId16" Type="http://schemas.openxmlformats.org/officeDocument/2006/relationships/hyperlink" Target="http://la-razon.com/" TargetMode="External"/><Relationship Id="rId107" Type="http://schemas.openxmlformats.org/officeDocument/2006/relationships/hyperlink" Target="http://www.radiovalparaiso.cl/2017/03/31/labocar-investiga-posible-femicidio-posterior-suicidio-del-autor-limache/" TargetMode="External"/><Relationship Id="rId11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32" Type="http://schemas.openxmlformats.org/officeDocument/2006/relationships/hyperlink" Target="http://diarioelcentro.cl/" TargetMode="External"/><Relationship Id="rId37" Type="http://schemas.openxmlformats.org/officeDocument/2006/relationships/hyperlink" Target="http://www.atentos.cl/2017/02/05/brutal-femicidio-sujeto-mata-esposa-golpe-hacha-la-cabeza/" TargetMode="External"/><Relationship Id="rId53" Type="http://schemas.openxmlformats.org/officeDocument/2006/relationships/hyperlink" Target="http://www.24horas.cl/nacional/la-celebracion-previa-a-la-muerte-de-joven-pareja-en-la-pintana-2301666" TargetMode="External"/><Relationship Id="rId58" Type="http://schemas.openxmlformats.org/officeDocument/2006/relationships/hyperlink" Target="http://www.ladiscusion.cl/detalle/10722/Investigan-posible-femicidio-en-la-comuna-de-Pemuco" TargetMode="External"/><Relationship Id="rId74" Type="http://schemas.openxmlformats.org/officeDocument/2006/relationships/hyperlink" Target="http://diarioeldia.cl/" TargetMode="External"/><Relationship Id="rId79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102" Type="http://schemas.openxmlformats.org/officeDocument/2006/relationships/hyperlink" Target="http://elmostrador.cl/" TargetMode="External"/><Relationship Id="rId123" Type="http://schemas.openxmlformats.org/officeDocument/2006/relationships/hyperlink" Target="http://www.chvnoticias.cl/policial/carabineros-detuvo-a-principal-sospechoso-de-femicidio-en-dalcahue/2017-04-08/163913.html" TargetMode="External"/><Relationship Id="rId128" Type="http://schemas.openxmlformats.org/officeDocument/2006/relationships/hyperlink" Target="http://radioestrelladelmar.cl/" TargetMode="External"/><Relationship Id="rId5" Type="http://schemas.openxmlformats.org/officeDocument/2006/relationships/hyperlink" Target="http://www.latercera.com/noticia/buscan-presunto-autor-femicidio-melipilla/" TargetMode="External"/><Relationship Id="rId90" Type="http://schemas.openxmlformats.org/officeDocument/2006/relationships/hyperlink" Target="http://latercera.com/" TargetMode="External"/><Relationship Id="rId95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14" Type="http://schemas.openxmlformats.org/officeDocument/2006/relationships/hyperlink" Target="http://cooperativa.cl/" TargetMode="External"/><Relationship Id="rId22" Type="http://schemas.openxmlformats.org/officeDocument/2006/relationships/hyperlink" Target="http://ntn24.com/" TargetMode="External"/><Relationship Id="rId27" Type="http://schemas.openxmlformats.org/officeDocument/2006/relationships/hyperlink" Target="http://www.eldesconcierto.cl/2017/02/09/femicidio-en-san-bernardo-es-el-septimo-perpetrado-durante-los-primeros-meses-de-2017/" TargetMode="External"/><Relationship Id="rId30" Type="http://schemas.openxmlformats.org/officeDocument/2006/relationships/hyperlink" Target="http://araucaniacuenta.cl/" TargetMode="External"/><Relationship Id="rId35" Type="http://schemas.openxmlformats.org/officeDocument/2006/relationships/hyperlink" Target="http://www.edicioncero.cl/2017/02/ministerio-de-la-mujer-el-femicidio-es-un-crimen-que-se-puede-evitar/" TargetMode="External"/><Relationship Id="rId43" Type="http://schemas.openxmlformats.org/officeDocument/2006/relationships/hyperlink" Target="http://www.diarioeldia.cl/pais/hombre-asesina-su-expareja-se-suicida-en-plena-publica" TargetMode="External"/><Relationship Id="rId48" Type="http://schemas.openxmlformats.org/officeDocument/2006/relationships/hyperlink" Target="http://latercera.com/" TargetMode="External"/><Relationship Id="rId56" Type="http://schemas.openxmlformats.org/officeDocument/2006/relationships/hyperlink" Target="http://www.eldesconcierto.cl/2017/02/23/investigan-posible-femicidio-la-comuna-pemuco/" TargetMode="External"/><Relationship Id="rId64" Type="http://schemas.openxmlformats.org/officeDocument/2006/relationships/hyperlink" Target="http://emol.com/" TargetMode="External"/><Relationship Id="rId69" Type="http://schemas.openxmlformats.org/officeDocument/2006/relationships/hyperlink" Target="http://www.eldiario.ec/lamarea/noticias-manta-ecuador/426224-una-joven-de-24-anos-es-la-nueva-victima-de-feminicidio-en-chile/" TargetMode="External"/><Relationship Id="rId77" Type="http://schemas.openxmlformats.org/officeDocument/2006/relationships/hyperlink" Target="http://www.chvnoticias.cl/policial/nuevo-femicidio-hombre-mato-a-su-pareja-y-luego-se-suicido/2017-03-29/212300.html" TargetMode="External"/><Relationship Id="rId100" Type="http://schemas.openxmlformats.org/officeDocument/2006/relationships/hyperlink" Target="http://24horas.cl/" TargetMode="External"/><Relationship Id="rId105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113" Type="http://schemas.openxmlformats.org/officeDocument/2006/relationships/hyperlink" Target="http://www.diarioantofagasta.cl/regional/antofagasta/74368/la-impactante-confesion-del-imputado-femicidio-antofagasta/" TargetMode="External"/><Relationship Id="rId118" Type="http://schemas.openxmlformats.org/officeDocument/2006/relationships/hyperlink" Target="http://cooperativa.cl/" TargetMode="External"/><Relationship Id="rId126" Type="http://schemas.openxmlformats.org/officeDocument/2006/relationships/hyperlink" Target="http://laopiniondechiloe.cl/" TargetMode="External"/><Relationship Id="rId134" Type="http://schemas.openxmlformats.org/officeDocument/2006/relationships/hyperlink" Target="http://24horas.cl/" TargetMode="External"/><Relationship Id="rId8" Type="http://schemas.openxmlformats.org/officeDocument/2006/relationships/hyperlink" Target="http://eldeber.com.bo/" TargetMode="External"/><Relationship Id="rId51" Type="http://schemas.openxmlformats.org/officeDocument/2006/relationships/hyperlink" Target="http://www.adnradio.cl/noticias/nacional/investigan-posible-femicidio-en-la-pintana/20170215/nota/3384238.aspx" TargetMode="External"/><Relationship Id="rId72" Type="http://schemas.openxmlformats.org/officeDocument/2006/relationships/hyperlink" Target="http://cooperativa.cl/" TargetMode="External"/><Relationship Id="rId80" Type="http://schemas.openxmlformats.org/officeDocument/2006/relationships/hyperlink" Target="http://cooperativa.cl/" TargetMode="External"/><Relationship Id="rId85" Type="http://schemas.openxmlformats.org/officeDocument/2006/relationships/hyperlink" Target="http://redaysen.com/hombre-acusado-de-femicidio-confeso-que-estrangulo-a-su-pareja_1503061272oZkxP.html" TargetMode="External"/><Relationship Id="rId93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98" Type="http://schemas.openxmlformats.org/officeDocument/2006/relationships/hyperlink" Target="http://diariocronica.cl/" TargetMode="External"/><Relationship Id="rId121" Type="http://schemas.openxmlformats.org/officeDocument/2006/relationships/hyperlink" Target="http://www.biobiochile.cl/noticias/nacional/chile/2017/04/07/formalizan-a-hombre-acusado-de-femicidio-en-antofagasta.shtml" TargetMode="External"/><Relationship Id="rId3" Type="http://schemas.openxmlformats.org/officeDocument/2006/relationships/hyperlink" Target="http://www.cablenoticias.cl/en-llolleo-un-hombre-asesino-a-su-mujer-y-luego-se-quito-la-vida" TargetMode="External"/><Relationship Id="rId12" Type="http://schemas.openxmlformats.org/officeDocument/2006/relationships/hyperlink" Target="http://cooperativa.cl/" TargetMode="External"/><Relationship Id="rId17" Type="http://schemas.openxmlformats.org/officeDocument/2006/relationships/hyperlink" Target="https://www.noticiasfides.com/nacional/seguridad/la-primera-victima-de-feminicidio-en-chile-en-lo-que-va-del-ano-es-una-boliviana-374886" TargetMode="External"/><Relationship Id="rId25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33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://atentos.cl/" TargetMode="External"/><Relationship Id="rId46" Type="http://schemas.openxmlformats.org/officeDocument/2006/relationships/hyperlink" Target="http://chvnoticias.cl/" TargetMode="External"/><Relationship Id="rId59" Type="http://schemas.openxmlformats.org/officeDocument/2006/relationships/hyperlink" Target="http://www.ladiscusion.cl/detalle/10722/Investigan-posible-femicidio-en-la-comuna-de-Pemuco" TargetMode="External"/><Relationship Id="rId67" Type="http://schemas.openxmlformats.org/officeDocument/2006/relationships/hyperlink" Target="http://www.diarioelcentro.cl/noticias/cronica/femicidio-en-molina-familia-de-victima-exige-un-castigo-ejemplar" TargetMode="External"/><Relationship Id="rId103" Type="http://schemas.openxmlformats.org/officeDocument/2006/relationships/hyperlink" Target="http://www.canal74.cl/2017/04/labocar-de-carabineros-investiga-femicidio-en-la-comuna-de-limache/" TargetMode="External"/><Relationship Id="rId108" Type="http://schemas.openxmlformats.org/officeDocument/2006/relationships/hyperlink" Target="http://radiovalparaiso.cl/" TargetMode="External"/><Relationship Id="rId116" Type="http://schemas.openxmlformats.org/officeDocument/2006/relationships/hyperlink" Target="http://emol.com/" TargetMode="External"/><Relationship Id="rId124" Type="http://schemas.openxmlformats.org/officeDocument/2006/relationships/hyperlink" Target="http://chvnoticias.cl/" TargetMode="External"/><Relationship Id="rId129" Type="http://schemas.openxmlformats.org/officeDocument/2006/relationships/hyperlink" Target="https://www.epicentrochile.com/2017/04/12/imputado-por-femicidio-en-chiloe-quedo-en-prision-preventiva/" TargetMode="External"/><Relationship Id="rId137" Type="http://schemas.openxmlformats.org/officeDocument/2006/relationships/printerSettings" Target="../printerSettings/printerSettings7.bin"/><Relationship Id="rId20" Type="http://schemas.openxmlformats.org/officeDocument/2006/relationships/hyperlink" Target="http://docs.google.com/" TargetMode="External"/><Relationship Id="rId41" Type="http://schemas.openxmlformats.org/officeDocument/2006/relationships/hyperlink" Target="http://www.t13.cl/noticia/nacional/Femicidio-Mujer-de-26-anos-muere-por-un-disparo-en-San-Bernardo" TargetMode="External"/><Relationship Id="rId54" Type="http://schemas.openxmlformats.org/officeDocument/2006/relationships/hyperlink" Target="http://24horas.cl/" TargetMode="External"/><Relationship Id="rId62" Type="http://schemas.openxmlformats.org/officeDocument/2006/relationships/hyperlink" Target="http://biobiochile.cl/" TargetMode="External"/><Relationship Id="rId70" Type="http://schemas.openxmlformats.org/officeDocument/2006/relationships/hyperlink" Target="http://eldiario.ec/" TargetMode="External"/><Relationship Id="rId75" Type="http://schemas.openxmlformats.org/officeDocument/2006/relationships/hyperlink" Target="https://www.efe.com/efe/america/sociedad/una-mujer-de-48-anos-es-la-decima-victima-feminicidio-en-chile-2017/20000013-3224955" TargetMode="External"/><Relationship Id="rId83" Type="http://schemas.openxmlformats.org/officeDocument/2006/relationships/hyperlink" Target="http://www.eldivisadero.cl/noticia-41810" TargetMode="External"/><Relationship Id="rId88" Type="http://schemas.openxmlformats.org/officeDocument/2006/relationships/hyperlink" Target="http://emol.com/" TargetMode="External"/><Relationship Id="rId91" Type="http://schemas.openxmlformats.org/officeDocument/2006/relationships/hyperlink" Target="http://www.24horas.cl/nacional/integra-emite-declaracion-publica-tras-femicidio-de-funcionaria-de-jardin-infantil-2344076" TargetMode="External"/><Relationship Id="rId96" Type="http://schemas.openxmlformats.org/officeDocument/2006/relationships/hyperlink" Target="http://biobiochile.cl/" TargetMode="External"/><Relationship Id="rId111" Type="http://schemas.openxmlformats.org/officeDocument/2006/relationships/hyperlink" Target="http://www.latercera.com/noticia/encuentran-cadaver-mujer-al-interior-clinica-oftalmologica-antofagasta/" TargetMode="External"/><Relationship Id="rId132" Type="http://schemas.openxmlformats.org/officeDocument/2006/relationships/hyperlink" Target="http://paislobo.cl/" TargetMode="External"/><Relationship Id="rId1" Type="http://schemas.openxmlformats.org/officeDocument/2006/relationships/hyperlink" Target="http://elproa.cl/web/detallenoticia.asp?id=21793" TargetMode="External"/><Relationship Id="rId6" Type="http://schemas.openxmlformats.org/officeDocument/2006/relationships/hyperlink" Target="http://latercera.com/" TargetMode="External"/><Relationship Id="rId15" Type="http://schemas.openxmlformats.org/officeDocument/2006/relationships/hyperlink" Target="http://www.la-razon.com/sociedad/Chile-boliviana-primera-victima-feminicidio-2017_0_2644535562.html" TargetMode="External"/><Relationship Id="rId23" Type="http://schemas.openxmlformats.org/officeDocument/2006/relationships/hyperlink" Target="http://www.noticiasrcn.com/videos/colombiana-habria-sido-asesinada-su-expareja-tambien-colombiano-chile" TargetMode="External"/><Relationship Id="rId28" Type="http://schemas.openxmlformats.org/officeDocument/2006/relationships/hyperlink" Target="http://eldesconcierto.cl/" TargetMode="External"/><Relationship Id="rId36" Type="http://schemas.openxmlformats.org/officeDocument/2006/relationships/hyperlink" Target="http://edicioncero.cl/" TargetMode="External"/><Relationship Id="rId49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57" Type="http://schemas.openxmlformats.org/officeDocument/2006/relationships/hyperlink" Target="http://eldesconcierto.cl/" TargetMode="External"/><Relationship Id="rId106" Type="http://schemas.openxmlformats.org/officeDocument/2006/relationships/hyperlink" Target="http://biobiochile.cl/" TargetMode="External"/><Relationship Id="rId114" Type="http://schemas.openxmlformats.org/officeDocument/2006/relationships/hyperlink" Target="http://diarioantofagasta.cl/" TargetMode="External"/><Relationship Id="rId119" Type="http://schemas.openxmlformats.org/officeDocument/2006/relationships/hyperlink" Target="http://www.eldinamo.cl/nacional/2017/04/07/la-insolita-confesion-telefonica-de-acusado-de-femicidio-que-indigno-a-antofagasta/" TargetMode="External"/><Relationship Id="rId127" Type="http://schemas.openxmlformats.org/officeDocument/2006/relationships/hyperlink" Target="http://www.radioestrelladelmar.cl/?p=11638" TargetMode="External"/><Relationship Id="rId10" Type="http://schemas.openxmlformats.org/officeDocument/2006/relationships/hyperlink" Target="http://eju.tv/" TargetMode="External"/><Relationship Id="rId31" Type="http://schemas.openxmlformats.org/officeDocument/2006/relationships/hyperlink" Target="http://www.diarioelcentro.cl/noticias/policial/primer-femicidio-del-ano-se-registro-ayer-en-carrizal" TargetMode="External"/><Relationship Id="rId44" Type="http://schemas.openxmlformats.org/officeDocument/2006/relationships/hyperlink" Target="http://diarioeldia.cl/" TargetMode="External"/><Relationship Id="rId52" Type="http://schemas.openxmlformats.org/officeDocument/2006/relationships/hyperlink" Target="http://adnradio.cl/" TargetMode="External"/><Relationship Id="rId60" Type="http://schemas.openxmlformats.org/officeDocument/2006/relationships/hyperlink" Target="http://ladiscusion.cl/" TargetMode="External"/><Relationship Id="rId65" Type="http://schemas.openxmlformats.org/officeDocument/2006/relationships/hyperlink" Target="http://www.24horas.cl/nacional/mujer-muere-asesinada-por-ex-pareja-en-el-septimo-femicidio-de-2017-2328768" TargetMode="External"/><Relationship Id="rId73" Type="http://schemas.openxmlformats.org/officeDocument/2006/relationships/hyperlink" Target="http://www.diarioeldia.cl/pais/nuevo-caso-femicidio-hija-menor-encuentra-muertos-sus-padres" TargetMode="External"/><Relationship Id="rId78" Type="http://schemas.openxmlformats.org/officeDocument/2006/relationships/hyperlink" Target="http://chvnoticias.cl/" TargetMode="External"/><Relationship Id="rId81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86" Type="http://schemas.openxmlformats.org/officeDocument/2006/relationships/hyperlink" Target="http://redaysen.com/" TargetMode="External"/><Relationship Id="rId94" Type="http://schemas.openxmlformats.org/officeDocument/2006/relationships/hyperlink" Target="http://msn.com/" TargetMode="External"/><Relationship Id="rId99" Type="http://schemas.openxmlformats.org/officeDocument/2006/relationships/hyperlink" Target="http://www.24horas.cl/nacional/limache-encuentran-a-pareja-muerta-al-interior-de-un-hogar-2343880" TargetMode="External"/><Relationship Id="rId101" Type="http://schemas.openxmlformats.org/officeDocument/2006/relationships/hyperlink" Target="http://www.elmostrador.cl/noticias/pais/2017/04/05/mujer-de-30-anos-se-convierte-en-la-victima-12-de-feminicidio-en-lo-que-va-del-ano/" TargetMode="External"/><Relationship Id="rId122" Type="http://schemas.openxmlformats.org/officeDocument/2006/relationships/hyperlink" Target="http://biobiochile.cl/" TargetMode="External"/><Relationship Id="rId130" Type="http://schemas.openxmlformats.org/officeDocument/2006/relationships/hyperlink" Target="http://epicentrochile.com/" TargetMode="External"/><Relationship Id="rId135" Type="http://schemas.openxmlformats.org/officeDocument/2006/relationships/hyperlink" Target="http://redohiggins.com/femicidio-joven-de-29-anos-mato-a-su-pareja-y-posteriormente-se-suicido_1491934845Rnfx4.html" TargetMode="External"/><Relationship Id="rId4" Type="http://schemas.openxmlformats.org/officeDocument/2006/relationships/hyperlink" Target="http://cablenoticias.cl/" TargetMode="External"/><Relationship Id="rId9" Type="http://schemas.openxmlformats.org/officeDocument/2006/relationships/hyperlink" Target="http://eju.tv/2017/01/feminicida-confiesa-en-sucre-que-mato-a-su-esposa-en-chile/" TargetMode="External"/><Relationship Id="rId13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8" Type="http://schemas.openxmlformats.org/officeDocument/2006/relationships/hyperlink" Target="http://noticiasfides.com/" TargetMode="External"/><Relationship Id="rId39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109" Type="http://schemas.openxmlformats.org/officeDocument/2006/relationships/hyperlink" Target="http://www.latercera.com/noticia/los-detalles-del-macabro-femicidio-antofagasta-segun-relato-del-fiscal/" TargetMode="External"/><Relationship Id="rId34" Type="http://schemas.openxmlformats.org/officeDocument/2006/relationships/hyperlink" Target="http://lanacion.cl/" TargetMode="External"/><Relationship Id="rId50" Type="http://schemas.openxmlformats.org/officeDocument/2006/relationships/hyperlink" Target="http://cooperativa.cl/" TargetMode="External"/><Relationship Id="rId55" Type="http://schemas.openxmlformats.org/officeDocument/2006/relationships/hyperlink" Target="https://eldiario.news/nacional/indagan_posible_femicidio_y_posterior_suicidio_en_la_pintana" TargetMode="External"/><Relationship Id="rId76" Type="http://schemas.openxmlformats.org/officeDocument/2006/relationships/hyperlink" Target="http://efe.com/" TargetMode="External"/><Relationship Id="rId97" Type="http://schemas.openxmlformats.org/officeDocument/2006/relationships/hyperlink" Target="http://www.diariocronica.cl/?p=9134" TargetMode="External"/><Relationship Id="rId104" Type="http://schemas.openxmlformats.org/officeDocument/2006/relationships/hyperlink" Target="http://canal74.cl/" TargetMode="External"/><Relationship Id="rId120" Type="http://schemas.openxmlformats.org/officeDocument/2006/relationships/hyperlink" Target="http://eldinamo.cl/" TargetMode="External"/><Relationship Id="rId125" Type="http://schemas.openxmlformats.org/officeDocument/2006/relationships/hyperlink" Target="http://laopiniondechiloe.cl/la-violenta-historia-de-oriundos-de-osorno-tras-virtual-femicidio-en-dalcahue/" TargetMode="External"/><Relationship Id="rId7" Type="http://schemas.openxmlformats.org/officeDocument/2006/relationships/hyperlink" Target="https://www.eldeber.com.bo/mundo/Boliviana-primera-victima-de-feminicidio-en-Chile-en-2017--20170126-0034.html" TargetMode="External"/><Relationship Id="rId71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92" Type="http://schemas.openxmlformats.org/officeDocument/2006/relationships/hyperlink" Target="http://24horas.cl/" TargetMode="External"/><Relationship Id="rId2" Type="http://schemas.openxmlformats.org/officeDocument/2006/relationships/hyperlink" Target="http://elproa.cl/" TargetMode="External"/><Relationship Id="rId29" Type="http://schemas.openxmlformats.org/officeDocument/2006/relationships/hyperlink" Target="https://www.araucaniacuenta.cl/ministra-s-perez-condeno-energicamente-el-femicidio-de-carmen-vazquez-de-la-comuna-de-san-javier/" TargetMode="External"/><Relationship Id="rId24" Type="http://schemas.openxmlformats.org/officeDocument/2006/relationships/hyperlink" Target="http://noticiasrcn.com/" TargetMode="External"/><Relationship Id="rId40" Type="http://schemas.openxmlformats.org/officeDocument/2006/relationships/hyperlink" Target="http://biobiochile.cl/" TargetMode="External"/><Relationship Id="rId45" Type="http://schemas.openxmlformats.org/officeDocument/2006/relationships/hyperlink" Target="http://www.chvnoticias.cl/policial/nuevo-femicidio-mujer-de-26-anos-murio-por-impactos-de-bala/2017-02-09/002344.html" TargetMode="External"/><Relationship Id="rId66" Type="http://schemas.openxmlformats.org/officeDocument/2006/relationships/hyperlink" Target="http://24horas.cl/" TargetMode="External"/><Relationship Id="rId87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110" Type="http://schemas.openxmlformats.org/officeDocument/2006/relationships/hyperlink" Target="http://latercera.com/" TargetMode="External"/><Relationship Id="rId115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131" Type="http://schemas.openxmlformats.org/officeDocument/2006/relationships/hyperlink" Target="http://www.paislobo.cl/2017/04/denuncias-de-violencia-intrafamiliar-en.html" TargetMode="External"/><Relationship Id="rId136" Type="http://schemas.openxmlformats.org/officeDocument/2006/relationships/hyperlink" Target="http://redohiggins.com/" TargetMode="External"/><Relationship Id="rId6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82" Type="http://schemas.openxmlformats.org/officeDocument/2006/relationships/hyperlink" Target="http://wradio.com.co/" TargetMode="External"/><Relationship Id="rId19" Type="http://schemas.openxmlformats.org/officeDocument/2006/relationships/hyperlink" Target="https://docs.google.com/spreadsheets/d/1OY8YymIGJzEYTBVKwpkGE-vDsYz3rKSjNe1TUj3qt40/edit?ts=588a2a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77"/>
  <sheetViews>
    <sheetView workbookViewId="0">
      <selection activeCell="B1" sqref="B1"/>
    </sheetView>
  </sheetViews>
  <sheetFormatPr baseColWidth="10" defaultRowHeight="15"/>
  <cols>
    <col min="1" max="1" width="55.5703125" customWidth="1"/>
    <col min="2" max="2" width="11.85546875" bestFit="1" customWidth="1"/>
  </cols>
  <sheetData>
    <row r="1" spans="1:2" ht="15.75" thickBot="1">
      <c r="A1" s="1" t="s">
        <v>0</v>
      </c>
      <c r="B1" t="str">
        <f t="shared" ref="B1:B64" si="0">SUBSTITUTE(IF(SUBSTITUTE(SUBSTITUTE(IF(RIGHT(MyExtract(A1,3,"F","/"),1)="/",LEFT(MyExtract(A1,3,"F","/"),LEN(MyExtract(A1,3,"F","/"))-1),MyExtract(A1,3,"F","/")),"http://","",1),"www.","",1)="*",A1,SUBSTITUTE(SUBSTITUTE(IF(RIGHT(MyExtract(A1,3,"F","/"),1)="/",LEFT(MyExtract(A1,3,"F","/"),LEN(MyExtract(A1,3,"F","/"))-1),MyExtract(A1,3,"F","/")),"http://","",1),"www.","")),"www.","")</f>
        <v>elproa.cl</v>
      </c>
    </row>
    <row r="2" spans="1:2" ht="30.75" thickBot="1">
      <c r="A2" s="1" t="s">
        <v>1</v>
      </c>
      <c r="B2" t="str">
        <f t="shared" si="0"/>
        <v>cablenoticias.cl</v>
      </c>
    </row>
    <row r="3" spans="1:2" ht="30.75" thickBot="1">
      <c r="A3" s="1" t="s">
        <v>2</v>
      </c>
      <c r="B3" t="str">
        <f t="shared" si="0"/>
        <v>latercera.com</v>
      </c>
    </row>
    <row r="4" spans="1:2" ht="45.75" thickBot="1">
      <c r="A4" s="1" t="s">
        <v>3</v>
      </c>
      <c r="B4" t="str">
        <f t="shared" si="0"/>
        <v>eldeber.com.bo</v>
      </c>
    </row>
    <row r="5" spans="1:2" ht="30.75" thickBot="1">
      <c r="A5" s="1" t="s">
        <v>4</v>
      </c>
      <c r="B5" t="str">
        <f t="shared" si="0"/>
        <v>eju.tv</v>
      </c>
    </row>
    <row r="6" spans="1:2" ht="45.75" thickBot="1">
      <c r="A6" s="1" t="s">
        <v>5</v>
      </c>
      <c r="B6" t="str">
        <f t="shared" si="0"/>
        <v>cooperativa.cl</v>
      </c>
    </row>
    <row r="7" spans="1:2" ht="45.75" thickBot="1">
      <c r="A7" s="1" t="s">
        <v>6</v>
      </c>
      <c r="B7" t="str">
        <f t="shared" si="0"/>
        <v>cooperativa.cl</v>
      </c>
    </row>
    <row r="8" spans="1:2" ht="30.75" thickBot="1">
      <c r="A8" s="1" t="s">
        <v>7</v>
      </c>
      <c r="B8" t="str">
        <f t="shared" si="0"/>
        <v>la-razon.com</v>
      </c>
    </row>
    <row r="9" spans="1:2" ht="45.75" thickBot="1">
      <c r="A9" s="1" t="s">
        <v>8</v>
      </c>
      <c r="B9" t="str">
        <f t="shared" si="0"/>
        <v>noticiasfides.com</v>
      </c>
    </row>
    <row r="10" spans="1:2" ht="30.75" thickBot="1">
      <c r="A10" s="1" t="s">
        <v>9</v>
      </c>
      <c r="B10" t="str">
        <f t="shared" si="0"/>
        <v>docs.google.com</v>
      </c>
    </row>
    <row r="11" spans="1:2" ht="30.75" thickBot="1">
      <c r="A11" s="1" t="s">
        <v>10</v>
      </c>
      <c r="B11" t="str">
        <f t="shared" si="0"/>
        <v>ntn24.com</v>
      </c>
    </row>
    <row r="12" spans="1:2" ht="30.75" thickBot="1">
      <c r="A12" s="1" t="s">
        <v>11</v>
      </c>
      <c r="B12" t="str">
        <f t="shared" si="0"/>
        <v>noticiasrcn.com</v>
      </c>
    </row>
    <row r="13" spans="1:2" ht="60.75" thickBot="1">
      <c r="A13" s="1" t="s">
        <v>12</v>
      </c>
      <c r="B13" t="str">
        <f t="shared" si="0"/>
        <v>minmujeryeg.cl</v>
      </c>
    </row>
    <row r="14" spans="1:2" ht="45.75" thickBot="1">
      <c r="A14" s="1" t="s">
        <v>13</v>
      </c>
      <c r="B14" t="str">
        <f t="shared" si="0"/>
        <v>eldesconcierto.cl</v>
      </c>
    </row>
    <row r="15" spans="1:2" ht="45.75" thickBot="1">
      <c r="A15" s="1" t="s">
        <v>14</v>
      </c>
      <c r="B15" t="str">
        <f t="shared" si="0"/>
        <v>araucaniacuenta.cl</v>
      </c>
    </row>
    <row r="16" spans="1:2" ht="30.75" thickBot="1">
      <c r="A16" s="1" t="s">
        <v>15</v>
      </c>
      <c r="B16" t="str">
        <f t="shared" si="0"/>
        <v>diarioelcentro.cl</v>
      </c>
    </row>
    <row r="17" spans="1:2" ht="30.75" thickBot="1">
      <c r="A17" s="1" t="s">
        <v>16</v>
      </c>
      <c r="B17" t="str">
        <f t="shared" si="0"/>
        <v>lanacion.cl</v>
      </c>
    </row>
    <row r="18" spans="1:2" ht="30.75" thickBot="1">
      <c r="A18" s="1" t="s">
        <v>17</v>
      </c>
      <c r="B18" t="str">
        <f t="shared" si="0"/>
        <v>edicioncero.cl</v>
      </c>
    </row>
    <row r="19" spans="1:2" ht="30.75" thickBot="1">
      <c r="A19" s="1" t="s">
        <v>18</v>
      </c>
      <c r="B19" t="str">
        <f t="shared" si="0"/>
        <v>atentos.cl</v>
      </c>
    </row>
    <row r="20" spans="1:2" ht="60.75" thickBot="1">
      <c r="A20" s="1" t="s">
        <v>19</v>
      </c>
      <c r="B20" t="str">
        <f t="shared" si="0"/>
        <v>biobiochile.cl</v>
      </c>
    </row>
    <row r="21" spans="1:2" ht="30.75" thickBot="1">
      <c r="A21" s="1" t="s">
        <v>20</v>
      </c>
      <c r="B21" t="str">
        <f t="shared" si="0"/>
        <v>t13.cl</v>
      </c>
    </row>
    <row r="22" spans="1:2" ht="30.75" thickBot="1">
      <c r="A22" s="1" t="s">
        <v>21</v>
      </c>
      <c r="B22" t="str">
        <f t="shared" si="0"/>
        <v>diarioeldia.cl</v>
      </c>
    </row>
    <row r="23" spans="1:2" ht="45.75" thickBot="1">
      <c r="A23" s="1" t="s">
        <v>22</v>
      </c>
      <c r="B23" t="str">
        <f t="shared" si="0"/>
        <v>chvnoticias.cl</v>
      </c>
    </row>
    <row r="24" spans="1:2" ht="30.75" thickBot="1">
      <c r="A24" s="2" t="s">
        <v>23</v>
      </c>
      <c r="B24" t="str">
        <f t="shared" si="0"/>
        <v>latercera.com</v>
      </c>
    </row>
    <row r="25" spans="1:2" ht="45.75" thickBot="1">
      <c r="A25" s="2" t="s">
        <v>24</v>
      </c>
      <c r="B25" t="str">
        <f t="shared" si="0"/>
        <v>cooperativa.cl</v>
      </c>
    </row>
    <row r="26" spans="1:2" ht="45.75" thickBot="1">
      <c r="A26" s="2" t="s">
        <v>25</v>
      </c>
      <c r="B26" t="str">
        <f t="shared" si="0"/>
        <v>adnradio.cl</v>
      </c>
    </row>
    <row r="27" spans="1:2" ht="30.75" thickBot="1">
      <c r="A27" s="2" t="s">
        <v>26</v>
      </c>
      <c r="B27" t="str">
        <f t="shared" si="0"/>
        <v>24horas.cl</v>
      </c>
    </row>
    <row r="28" spans="1:2" ht="30.75" thickBot="1">
      <c r="A28" s="2" t="s">
        <v>27</v>
      </c>
      <c r="B28" t="str">
        <f t="shared" si="0"/>
        <v>eldiario.news</v>
      </c>
    </row>
    <row r="29" spans="1:2" ht="30.75" thickBot="1">
      <c r="A29" s="1" t="s">
        <v>28</v>
      </c>
      <c r="B29" t="str">
        <f t="shared" si="0"/>
        <v>eldesconcierto.cl</v>
      </c>
    </row>
    <row r="30" spans="1:2" ht="45.75" thickBot="1">
      <c r="A30" s="1" t="s">
        <v>29</v>
      </c>
      <c r="B30" t="str">
        <f t="shared" si="0"/>
        <v>ladiscusion.cl</v>
      </c>
    </row>
    <row r="31" spans="1:2" ht="45.75" thickBot="1">
      <c r="A31" s="1" t="s">
        <v>30</v>
      </c>
      <c r="B31" t="str">
        <f t="shared" si="0"/>
        <v>biobiochile.cl</v>
      </c>
    </row>
    <row r="32" spans="1:2" ht="45.75" thickBot="1">
      <c r="A32" s="1" t="s">
        <v>31</v>
      </c>
      <c r="B32" t="str">
        <f t="shared" si="0"/>
        <v>emol.com</v>
      </c>
    </row>
    <row r="33" spans="1:2" ht="30.75" thickBot="1">
      <c r="A33" s="1" t="s">
        <v>32</v>
      </c>
      <c r="B33" t="str">
        <f t="shared" si="0"/>
        <v>24horas.cl</v>
      </c>
    </row>
    <row r="34" spans="1:2" ht="30.75" thickBot="1">
      <c r="A34" s="1" t="s">
        <v>33</v>
      </c>
      <c r="B34" t="str">
        <f t="shared" si="0"/>
        <v>diarioelcentro.cl</v>
      </c>
    </row>
    <row r="35" spans="1:2" ht="45.75" thickBot="1">
      <c r="A35" s="1" t="s">
        <v>34</v>
      </c>
      <c r="B35" t="str">
        <f t="shared" si="0"/>
        <v>eldiario.ec</v>
      </c>
    </row>
    <row r="36" spans="1:2" ht="45.75" thickBot="1">
      <c r="A36" s="1" t="s">
        <v>35</v>
      </c>
      <c r="B36" t="str">
        <f t="shared" si="0"/>
        <v>cooperativa.cl</v>
      </c>
    </row>
    <row r="37" spans="1:2" ht="30.75" thickBot="1">
      <c r="A37" s="1" t="s">
        <v>36</v>
      </c>
      <c r="B37" t="str">
        <f t="shared" si="0"/>
        <v>diarioeldia.cl</v>
      </c>
    </row>
    <row r="38" spans="1:2" ht="45.75" thickBot="1">
      <c r="A38" s="1" t="s">
        <v>37</v>
      </c>
      <c r="B38" t="str">
        <f t="shared" si="0"/>
        <v>efe.com</v>
      </c>
    </row>
    <row r="39" spans="1:2" ht="45.75" thickBot="1">
      <c r="A39" s="1" t="s">
        <v>38</v>
      </c>
      <c r="B39" t="str">
        <f t="shared" si="0"/>
        <v>chvnoticias.cl</v>
      </c>
    </row>
    <row r="40" spans="1:2" ht="45.75" thickBot="1">
      <c r="A40" s="1" t="s">
        <v>39</v>
      </c>
      <c r="B40" t="str">
        <f t="shared" si="0"/>
        <v>cooperativa.cl</v>
      </c>
    </row>
    <row r="41" spans="1:2" ht="45.75" thickBot="1">
      <c r="A41" s="1" t="s">
        <v>40</v>
      </c>
      <c r="B41" t="str">
        <f t="shared" si="0"/>
        <v>wradio.com.co</v>
      </c>
    </row>
    <row r="42" spans="1:2" ht="15.75" thickBot="1">
      <c r="A42" s="1" t="s">
        <v>41</v>
      </c>
      <c r="B42" t="str">
        <f t="shared" si="0"/>
        <v>eldivisadero.cl</v>
      </c>
    </row>
    <row r="43" spans="1:2" ht="30.75" thickBot="1">
      <c r="A43" s="1" t="s">
        <v>42</v>
      </c>
      <c r="B43" t="str">
        <f t="shared" si="0"/>
        <v>redaysen.com</v>
      </c>
    </row>
    <row r="44" spans="1:2" ht="15.75" thickBot="1">
      <c r="A44" s="3" t="s">
        <v>43</v>
      </c>
      <c r="B44" t="str">
        <f t="shared" si="0"/>
        <v>emol.com</v>
      </c>
    </row>
    <row r="45" spans="1:2" ht="30.75" thickBot="1">
      <c r="A45" s="1" t="s">
        <v>44</v>
      </c>
      <c r="B45" t="str">
        <f t="shared" si="0"/>
        <v>latercera.com</v>
      </c>
    </row>
    <row r="46" spans="1:2" ht="45.75" thickBot="1">
      <c r="A46" s="1" t="s">
        <v>45</v>
      </c>
      <c r="B46" t="str">
        <f t="shared" si="0"/>
        <v>24horas.cl</v>
      </c>
    </row>
    <row r="47" spans="1:2" ht="45.75" thickBot="1">
      <c r="A47" s="1" t="s">
        <v>46</v>
      </c>
      <c r="B47" t="str">
        <f t="shared" si="0"/>
        <v>msn.com</v>
      </c>
    </row>
    <row r="48" spans="1:2" ht="45.75" thickBot="1">
      <c r="A48" s="1" t="s">
        <v>47</v>
      </c>
      <c r="B48" t="str">
        <f t="shared" si="0"/>
        <v>biobiochile.cl</v>
      </c>
    </row>
    <row r="49" spans="1:2" ht="15.75" thickBot="1">
      <c r="A49" s="1" t="s">
        <v>48</v>
      </c>
      <c r="B49" t="str">
        <f t="shared" si="0"/>
        <v>diariocronica.cl</v>
      </c>
    </row>
    <row r="50" spans="1:2" ht="30.75" thickBot="1">
      <c r="A50" s="1" t="s">
        <v>49</v>
      </c>
      <c r="B50" t="str">
        <f t="shared" si="0"/>
        <v>24horas.cl</v>
      </c>
    </row>
    <row r="51" spans="1:2" ht="45.75" thickBot="1">
      <c r="A51" s="1" t="s">
        <v>50</v>
      </c>
      <c r="B51" t="str">
        <f t="shared" si="0"/>
        <v>elmostrador.cl</v>
      </c>
    </row>
    <row r="52" spans="1:2" ht="30.75" thickBot="1">
      <c r="A52" s="1" t="s">
        <v>51</v>
      </c>
      <c r="B52" t="str">
        <f t="shared" si="0"/>
        <v>canal74.cl</v>
      </c>
    </row>
    <row r="53" spans="1:2" ht="45.75" thickBot="1">
      <c r="A53" s="1" t="s">
        <v>52</v>
      </c>
      <c r="B53" t="str">
        <f t="shared" si="0"/>
        <v>biobiochile.cl</v>
      </c>
    </row>
    <row r="54" spans="1:2" ht="30.75" thickBot="1">
      <c r="A54" s="1" t="s">
        <v>53</v>
      </c>
      <c r="B54" t="str">
        <f t="shared" si="0"/>
        <v>radiovalparaiso.cl</v>
      </c>
    </row>
    <row r="55" spans="1:2" ht="30.75" thickBot="1">
      <c r="A55" s="1" t="s">
        <v>54</v>
      </c>
      <c r="B55" t="str">
        <f t="shared" si="0"/>
        <v>latercera.com</v>
      </c>
    </row>
    <row r="56" spans="1:2" ht="30.75" thickBot="1">
      <c r="A56" s="1" t="s">
        <v>55</v>
      </c>
      <c r="B56" t="str">
        <f t="shared" si="0"/>
        <v>latercera.com</v>
      </c>
    </row>
    <row r="57" spans="1:2" ht="45.75" thickBot="1">
      <c r="A57" s="1" t="s">
        <v>56</v>
      </c>
      <c r="B57" t="str">
        <f t="shared" si="0"/>
        <v>diarioantofagasta.cl</v>
      </c>
    </row>
    <row r="58" spans="1:2" ht="15.75" thickBot="1">
      <c r="A58" s="3" t="s">
        <v>57</v>
      </c>
      <c r="B58" t="str">
        <f t="shared" si="0"/>
        <v>emol.com</v>
      </c>
    </row>
    <row r="59" spans="1:2" ht="45.75" thickBot="1">
      <c r="A59" s="1" t="s">
        <v>58</v>
      </c>
      <c r="B59" t="str">
        <f t="shared" si="0"/>
        <v>cooperativa.cl</v>
      </c>
    </row>
    <row r="60" spans="1:2" ht="45.75" thickBot="1">
      <c r="A60" s="1" t="s">
        <v>59</v>
      </c>
      <c r="B60" t="str">
        <f t="shared" si="0"/>
        <v>eldinamo.cl</v>
      </c>
    </row>
    <row r="61" spans="1:2" ht="45.75" thickBot="1">
      <c r="A61" s="1" t="s">
        <v>60</v>
      </c>
      <c r="B61" t="str">
        <f t="shared" si="0"/>
        <v>biobiochile.cl</v>
      </c>
    </row>
    <row r="62" spans="1:2" ht="45.75" thickBot="1">
      <c r="A62" s="1" t="s">
        <v>61</v>
      </c>
      <c r="B62" t="str">
        <f t="shared" si="0"/>
        <v>chvnoticias.cl</v>
      </c>
    </row>
    <row r="63" spans="1:2" ht="30.75" thickBot="1">
      <c r="A63" s="1" t="s">
        <v>62</v>
      </c>
      <c r="B63" t="str">
        <f t="shared" si="0"/>
        <v>laopiniondechiloe.cl</v>
      </c>
    </row>
    <row r="64" spans="1:2" ht="15.75" thickBot="1">
      <c r="A64" s="1" t="s">
        <v>63</v>
      </c>
      <c r="B64" t="str">
        <f t="shared" si="0"/>
        <v>radioestrelladelmar.cl</v>
      </c>
    </row>
    <row r="65" spans="1:2" ht="30.75" thickBot="1">
      <c r="A65" s="1" t="s">
        <v>64</v>
      </c>
      <c r="B65" t="str">
        <f t="shared" ref="B65:B128" si="1">SUBSTITUTE(IF(SUBSTITUTE(SUBSTITUTE(IF(RIGHT(MyExtract(A65,3,"F","/"),1)="/",LEFT(MyExtract(A65,3,"F","/"),LEN(MyExtract(A65,3,"F","/"))-1),MyExtract(A65,3,"F","/")),"http://","",1),"www.","",1)="*",A65,SUBSTITUTE(SUBSTITUTE(IF(RIGHT(MyExtract(A65,3,"F","/"),1)="/",LEFT(MyExtract(A65,3,"F","/"),LEN(MyExtract(A65,3,"F","/"))-1),MyExtract(A65,3,"F","/")),"http://","",1),"www.","")),"www.","")</f>
        <v>epicentrochile.com</v>
      </c>
    </row>
    <row r="66" spans="1:2" ht="30.75" thickBot="1">
      <c r="A66" s="1" t="s">
        <v>65</v>
      </c>
      <c r="B66" t="str">
        <f t="shared" si="1"/>
        <v>paislobo.cl</v>
      </c>
    </row>
    <row r="67" spans="1:2" ht="30.75" thickBot="1">
      <c r="A67" s="1" t="s">
        <v>66</v>
      </c>
      <c r="B67" t="str">
        <f t="shared" si="1"/>
        <v>24horas.cl</v>
      </c>
    </row>
    <row r="68" spans="1:2" ht="45.75" thickBot="1">
      <c r="A68" s="1" t="s">
        <v>67</v>
      </c>
      <c r="B68" t="str">
        <f t="shared" si="1"/>
        <v>redohiggins.com</v>
      </c>
    </row>
    <row r="69" spans="1:2" ht="45.75" thickBot="1">
      <c r="A69" s="1" t="s">
        <v>68</v>
      </c>
      <c r="B69" t="str">
        <f t="shared" si="1"/>
        <v>newsjs.com</v>
      </c>
    </row>
    <row r="70" spans="1:2" ht="30.75" thickBot="1">
      <c r="A70" s="1" t="s">
        <v>69</v>
      </c>
      <c r="B70" t="str">
        <f t="shared" si="1"/>
        <v>lanoticiaonline.cl</v>
      </c>
    </row>
    <row r="71" spans="1:2" ht="30.75" thickBot="1">
      <c r="A71" s="1" t="s">
        <v>70</v>
      </c>
      <c r="B71" t="str">
        <f t="shared" si="1"/>
        <v>lanacion.cl</v>
      </c>
    </row>
    <row r="72" spans="1:2" ht="30.75" thickBot="1">
      <c r="A72" s="1" t="s">
        <v>71</v>
      </c>
      <c r="B72" t="str">
        <f t="shared" si="1"/>
        <v>eldesconcierto.cl</v>
      </c>
    </row>
    <row r="73" spans="1:2" ht="15.75" thickBot="1">
      <c r="A73" s="1" t="s">
        <v>72</v>
      </c>
      <c r="B73" t="str">
        <f t="shared" si="1"/>
        <v>elcachapoal.cl</v>
      </c>
    </row>
    <row r="74" spans="1:2" ht="30.75" thickBot="1">
      <c r="A74" s="1" t="s">
        <v>73</v>
      </c>
      <c r="B74" t="str">
        <f t="shared" si="1"/>
        <v>lanacion.cl</v>
      </c>
    </row>
    <row r="75" spans="1:2" ht="30.75" thickBot="1">
      <c r="A75" s="1" t="s">
        <v>74</v>
      </c>
      <c r="B75" t="str">
        <f t="shared" si="1"/>
        <v>radioportales.cl</v>
      </c>
    </row>
    <row r="76" spans="1:2" ht="30.75" thickBot="1">
      <c r="A76" s="1" t="s">
        <v>75</v>
      </c>
      <c r="B76" t="str">
        <f t="shared" si="1"/>
        <v>eldiario.news</v>
      </c>
    </row>
    <row r="77" spans="1:2" ht="30.75" thickBot="1">
      <c r="A77" s="1" t="s">
        <v>76</v>
      </c>
      <c r="B77" t="str">
        <f t="shared" si="1"/>
        <v>reportechile.net</v>
      </c>
    </row>
    <row r="78" spans="1:2" ht="30.75" thickBot="1">
      <c r="A78" s="1" t="s">
        <v>77</v>
      </c>
      <c r="B78" t="str">
        <f t="shared" si="1"/>
        <v>latercera.com</v>
      </c>
    </row>
    <row r="79" spans="1:2" ht="15.75" thickBot="1">
      <c r="A79" s="3" t="s">
        <v>78</v>
      </c>
      <c r="B79" t="str">
        <f t="shared" si="1"/>
        <v>minmujeryeg.cl</v>
      </c>
    </row>
    <row r="80" spans="1:2" ht="45.75" thickBot="1">
      <c r="A80" s="1" t="s">
        <v>79</v>
      </c>
      <c r="B80" t="str">
        <f t="shared" si="1"/>
        <v>cooperativa.cl</v>
      </c>
    </row>
    <row r="81" spans="1:2" ht="45.75" thickBot="1">
      <c r="A81" s="1" t="s">
        <v>80</v>
      </c>
      <c r="B81" t="str">
        <f t="shared" si="1"/>
        <v>puranoticia.cl</v>
      </c>
    </row>
    <row r="82" spans="1:2" ht="45.75" thickBot="1">
      <c r="A82" s="1" t="s">
        <v>81</v>
      </c>
      <c r="B82" t="str">
        <f t="shared" si="1"/>
        <v>biobiochile.cl</v>
      </c>
    </row>
    <row r="83" spans="1:2" ht="45.75" thickBot="1">
      <c r="A83" s="1" t="s">
        <v>82</v>
      </c>
      <c r="B83" t="str">
        <f t="shared" si="1"/>
        <v>cooperativa.cl</v>
      </c>
    </row>
    <row r="84" spans="1:2" ht="30.75" thickBot="1">
      <c r="A84" s="1" t="s">
        <v>83</v>
      </c>
      <c r="B84" t="str">
        <f t="shared" si="1"/>
        <v>24horas.cl</v>
      </c>
    </row>
    <row r="85" spans="1:2" ht="30.75" thickBot="1">
      <c r="A85" s="1" t="s">
        <v>84</v>
      </c>
      <c r="B85" t="str">
        <f t="shared" si="1"/>
        <v>elconcecuente.cl</v>
      </c>
    </row>
    <row r="86" spans="1:2" ht="30.75" thickBot="1">
      <c r="A86" s="1" t="s">
        <v>85</v>
      </c>
      <c r="B86" t="str">
        <f t="shared" si="1"/>
        <v>latercera.com</v>
      </c>
    </row>
    <row r="87" spans="1:2" ht="30.75" thickBot="1">
      <c r="A87" s="1" t="s">
        <v>86</v>
      </c>
      <c r="B87" t="str">
        <f t="shared" si="1"/>
        <v>diarioeldia.cl</v>
      </c>
    </row>
    <row r="88" spans="1:2" ht="45.75" thickBot="1">
      <c r="A88" s="1" t="s">
        <v>87</v>
      </c>
      <c r="B88" t="str">
        <f t="shared" si="1"/>
        <v>diarioeldia.cl</v>
      </c>
    </row>
    <row r="89" spans="1:2" ht="45.75" thickBot="1">
      <c r="A89" s="1" t="s">
        <v>88</v>
      </c>
      <c r="B89" t="str">
        <f t="shared" si="1"/>
        <v>eluniversal.com.mx</v>
      </c>
    </row>
    <row r="90" spans="1:2" ht="30.75" thickBot="1">
      <c r="A90" s="1" t="s">
        <v>89</v>
      </c>
      <c r="B90" t="str">
        <f t="shared" si="1"/>
        <v>lanacion.cl</v>
      </c>
    </row>
    <row r="91" spans="1:2" ht="15.75" thickBot="1">
      <c r="A91" s="1" t="s">
        <v>90</v>
      </c>
      <c r="B91" t="str">
        <f t="shared" si="1"/>
        <v>diariolaregion.cl</v>
      </c>
    </row>
    <row r="92" spans="1:2" ht="15.75" thickBot="1">
      <c r="A92" s="3" t="s">
        <v>91</v>
      </c>
      <c r="B92" t="str">
        <f t="shared" si="1"/>
        <v>biobiochile.cl</v>
      </c>
    </row>
    <row r="93" spans="1:2" ht="15.75" thickBot="1">
      <c r="A93" s="3" t="s">
        <v>92</v>
      </c>
      <c r="B93" t="str">
        <f t="shared" si="1"/>
        <v>minmujeryeg.gob.cl</v>
      </c>
    </row>
    <row r="94" spans="1:2" ht="30.75" thickBot="1">
      <c r="A94" s="1" t="s">
        <v>93</v>
      </c>
      <c r="B94" t="str">
        <f t="shared" si="1"/>
        <v>portalnoticias.cl</v>
      </c>
    </row>
    <row r="95" spans="1:2" ht="15.75" thickBot="1">
      <c r="A95" s="3" t="s">
        <v>94</v>
      </c>
      <c r="B95" t="str">
        <f t="shared" si="1"/>
        <v>emol.com</v>
      </c>
    </row>
    <row r="96" spans="1:2" ht="30.75" thickBot="1">
      <c r="A96" s="1" t="s">
        <v>95</v>
      </c>
      <c r="B96" t="str">
        <f t="shared" si="1"/>
        <v>radioprofeta.cl</v>
      </c>
    </row>
    <row r="97" spans="1:2" ht="30.75" thickBot="1">
      <c r="A97" s="1" t="s">
        <v>96</v>
      </c>
      <c r="B97" t="str">
        <f t="shared" si="1"/>
        <v>diarioeldia.cl</v>
      </c>
    </row>
    <row r="98" spans="1:2" ht="30.75" thickBot="1">
      <c r="A98" s="1" t="s">
        <v>97</v>
      </c>
      <c r="B98" t="str">
        <f t="shared" si="1"/>
        <v>lanacion.cl</v>
      </c>
    </row>
    <row r="99" spans="1:2" ht="30.75" thickBot="1">
      <c r="A99" s="1" t="s">
        <v>98</v>
      </c>
      <c r="B99" t="str">
        <f t="shared" si="1"/>
        <v>24horas.cl</v>
      </c>
    </row>
    <row r="100" spans="1:2" ht="45.75" thickBot="1">
      <c r="A100" s="1" t="s">
        <v>99</v>
      </c>
      <c r="B100" t="str">
        <f t="shared" si="1"/>
        <v>soychile.cl</v>
      </c>
    </row>
    <row r="101" spans="1:2" ht="15.75" thickBot="1">
      <c r="A101" s="3" t="s">
        <v>100</v>
      </c>
      <c r="B101" t="str">
        <f t="shared" si="1"/>
        <v>emol.com</v>
      </c>
    </row>
    <row r="102" spans="1:2" ht="45.75" thickBot="1">
      <c r="A102" s="1" t="s">
        <v>101</v>
      </c>
      <c r="B102" t="str">
        <f t="shared" si="1"/>
        <v>chvnoticias.cl</v>
      </c>
    </row>
    <row r="103" spans="1:2" ht="30.75" thickBot="1">
      <c r="A103" s="1" t="s">
        <v>102</v>
      </c>
      <c r="B103" t="str">
        <f t="shared" si="1"/>
        <v>latercera.com</v>
      </c>
    </row>
    <row r="104" spans="1:2" ht="30.75" thickBot="1">
      <c r="A104" s="1" t="s">
        <v>103</v>
      </c>
      <c r="B104" t="str">
        <f t="shared" si="1"/>
        <v>cnnchile.com</v>
      </c>
    </row>
    <row r="105" spans="1:2" ht="30.75" thickBot="1">
      <c r="A105" s="1" t="s">
        <v>104</v>
      </c>
      <c r="B105" t="str">
        <f t="shared" si="1"/>
        <v>diarioeldia.cl</v>
      </c>
    </row>
    <row r="106" spans="1:2" ht="45.75" thickBot="1">
      <c r="A106" s="1" t="s">
        <v>105</v>
      </c>
      <c r="B106" t="str">
        <f t="shared" si="1"/>
        <v>elmostrador.cl</v>
      </c>
    </row>
    <row r="107" spans="1:2" ht="30.75" thickBot="1">
      <c r="A107" s="1" t="s">
        <v>106</v>
      </c>
      <c r="B107" t="str">
        <f t="shared" si="1"/>
        <v>24horas.cl</v>
      </c>
    </row>
    <row r="108" spans="1:2" ht="45.75" thickBot="1">
      <c r="A108" s="1" t="s">
        <v>107</v>
      </c>
      <c r="B108" t="str">
        <f t="shared" si="1"/>
        <v>emol.com</v>
      </c>
    </row>
    <row r="109" spans="1:2" ht="30.75" thickBot="1">
      <c r="A109" s="1" t="s">
        <v>108</v>
      </c>
      <c r="B109" t="str">
        <f t="shared" si="1"/>
        <v>araucaniacuenta.cl</v>
      </c>
    </row>
    <row r="110" spans="1:2" ht="30.75" thickBot="1">
      <c r="A110" s="1" t="s">
        <v>109</v>
      </c>
      <c r="B110" t="str">
        <f t="shared" si="1"/>
        <v>latercera.com</v>
      </c>
    </row>
    <row r="111" spans="1:2" ht="15.75" thickBot="1">
      <c r="A111" s="1" t="s">
        <v>110</v>
      </c>
      <c r="B111" t="str">
        <f t="shared" si="1"/>
        <v>latercera.com</v>
      </c>
    </row>
    <row r="112" spans="1:2" ht="30.75" thickBot="1">
      <c r="A112" s="1" t="s">
        <v>111</v>
      </c>
      <c r="B112" t="str">
        <f t="shared" si="1"/>
        <v>elcomercio.pe</v>
      </c>
    </row>
    <row r="113" spans="1:2" ht="30.75" thickBot="1">
      <c r="A113" s="1" t="s">
        <v>112</v>
      </c>
      <c r="B113" t="str">
        <f t="shared" si="1"/>
        <v>diariodechimbote.com</v>
      </c>
    </row>
    <row r="114" spans="1:2" ht="30.75" thickBot="1">
      <c r="A114" s="1" t="s">
        <v>113</v>
      </c>
      <c r="B114" t="str">
        <f t="shared" si="1"/>
        <v>rpp.pe</v>
      </c>
    </row>
    <row r="115" spans="1:2" ht="45.75" thickBot="1">
      <c r="A115" s="1" t="s">
        <v>114</v>
      </c>
      <c r="B115" t="str">
        <f t="shared" si="1"/>
        <v>chvnoticias.cl</v>
      </c>
    </row>
    <row r="116" spans="1:2" ht="30.75" thickBot="1">
      <c r="A116" s="1" t="s">
        <v>115</v>
      </c>
      <c r="B116" t="str">
        <f t="shared" si="1"/>
        <v>redinformativa.cl</v>
      </c>
    </row>
    <row r="117" spans="1:2" ht="45.75" thickBot="1">
      <c r="A117" s="1" t="s">
        <v>116</v>
      </c>
      <c r="B117" t="str">
        <f t="shared" si="1"/>
        <v>soychile.cl</v>
      </c>
    </row>
    <row r="118" spans="1:2" ht="45.75" thickBot="1">
      <c r="A118" s="1" t="s">
        <v>117</v>
      </c>
      <c r="B118" t="str">
        <f t="shared" si="1"/>
        <v>soychile.cl</v>
      </c>
    </row>
    <row r="119" spans="1:2" ht="15.75" thickBot="1">
      <c r="A119" s="3" t="s">
        <v>118</v>
      </c>
      <c r="B119" t="str">
        <f t="shared" si="1"/>
        <v>biobiochile.cl</v>
      </c>
    </row>
    <row r="120" spans="1:2" ht="15.75" thickBot="1">
      <c r="A120" s="3" t="s">
        <v>119</v>
      </c>
      <c r="B120" t="str">
        <f t="shared" si="1"/>
        <v>temucodiario.cl</v>
      </c>
    </row>
    <row r="121" spans="1:2" ht="45.75" thickBot="1">
      <c r="A121" s="1" t="s">
        <v>120</v>
      </c>
      <c r="B121" t="str">
        <f t="shared" si="1"/>
        <v>eldesconcierto.cl</v>
      </c>
    </row>
    <row r="122" spans="1:2" ht="45.75" thickBot="1">
      <c r="A122" s="1" t="s">
        <v>121</v>
      </c>
      <c r="B122" t="str">
        <f t="shared" si="1"/>
        <v>cooperativa.cl</v>
      </c>
    </row>
    <row r="123" spans="1:2" ht="45.75" thickBot="1">
      <c r="A123" s="1" t="s">
        <v>122</v>
      </c>
      <c r="B123" t="str">
        <f t="shared" si="1"/>
        <v>chvnoticias.cl</v>
      </c>
    </row>
    <row r="124" spans="1:2" ht="30.75" thickBot="1">
      <c r="A124" s="1" t="s">
        <v>123</v>
      </c>
      <c r="B124" t="str">
        <f t="shared" si="1"/>
        <v>diarioeldia.cl</v>
      </c>
    </row>
    <row r="125" spans="1:2" ht="30.75" thickBot="1">
      <c r="A125" s="1" t="s">
        <v>124</v>
      </c>
      <c r="B125" t="str">
        <f t="shared" si="1"/>
        <v>diarioeldia.cl</v>
      </c>
    </row>
    <row r="126" spans="1:2" ht="30.75" thickBot="1">
      <c r="A126" s="1" t="s">
        <v>125</v>
      </c>
      <c r="B126" t="str">
        <f t="shared" si="1"/>
        <v>elobservatodo.cl</v>
      </c>
    </row>
    <row r="127" spans="1:2" ht="15.75" thickBot="1">
      <c r="A127" s="1" t="s">
        <v>126</v>
      </c>
      <c r="B127" t="str">
        <f t="shared" si="1"/>
        <v>diariolaregion.cl</v>
      </c>
    </row>
    <row r="128" spans="1:2" ht="15.75" thickBot="1">
      <c r="A128" s="3" t="s">
        <v>127</v>
      </c>
      <c r="B128" t="str">
        <f t="shared" si="1"/>
        <v>biobiochile.cl</v>
      </c>
    </row>
    <row r="129" spans="1:2" ht="30.75" thickBot="1">
      <c r="A129" s="1" t="s">
        <v>128</v>
      </c>
      <c r="B129" t="str">
        <f t="shared" ref="B129:B192" si="2">SUBSTITUTE(IF(SUBSTITUTE(SUBSTITUTE(IF(RIGHT(MyExtract(A129,3,"F","/"),1)="/",LEFT(MyExtract(A129,3,"F","/"),LEN(MyExtract(A129,3,"F","/"))-1),MyExtract(A129,3,"F","/")),"http://","",1),"www.","",1)="*",A129,SUBSTITUTE(SUBSTITUTE(IF(RIGHT(MyExtract(A129,3,"F","/"),1)="/",LEFT(MyExtract(A129,3,"F","/"),LEN(MyExtract(A129,3,"F","/"))-1),MyExtract(A129,3,"F","/")),"http://","",1),"www.","")),"www.","")</f>
        <v>24horas.cl</v>
      </c>
    </row>
    <row r="130" spans="1:2" ht="15.75" thickBot="1">
      <c r="A130" s="3" t="s">
        <v>129</v>
      </c>
      <c r="B130" t="str">
        <f t="shared" si="2"/>
        <v>biobiochile.cl</v>
      </c>
    </row>
    <row r="131" spans="1:2" ht="45.75" thickBot="1">
      <c r="A131" s="1" t="s">
        <v>130</v>
      </c>
      <c r="B131" t="str">
        <f t="shared" si="2"/>
        <v>minmujeryeg.cl</v>
      </c>
    </row>
    <row r="132" spans="1:2" ht="45.75" thickBot="1">
      <c r="A132" s="1" t="s">
        <v>131</v>
      </c>
      <c r="B132" t="str">
        <f t="shared" si="2"/>
        <v>publimetro.cl</v>
      </c>
    </row>
    <row r="133" spans="1:2" ht="45.75" thickBot="1">
      <c r="A133" s="1" t="s">
        <v>132</v>
      </c>
      <c r="B133" t="str">
        <f t="shared" si="2"/>
        <v>emol.com</v>
      </c>
    </row>
    <row r="134" spans="1:2" ht="45.75" thickBot="1">
      <c r="A134" s="1" t="s">
        <v>133</v>
      </c>
      <c r="B134" t="str">
        <f t="shared" si="2"/>
        <v>soychile.cl</v>
      </c>
    </row>
    <row r="135" spans="1:2" ht="30.75" thickBot="1">
      <c r="A135" s="1" t="s">
        <v>134</v>
      </c>
      <c r="B135" t="str">
        <f t="shared" si="2"/>
        <v>latercera.com</v>
      </c>
    </row>
    <row r="136" spans="1:2" ht="30.75" thickBot="1">
      <c r="A136" s="1" t="s">
        <v>135</v>
      </c>
      <c r="B136" t="str">
        <f t="shared" si="2"/>
        <v>publimetro.cl</v>
      </c>
    </row>
    <row r="137" spans="1:2" ht="30.75" thickBot="1">
      <c r="A137" s="1" t="s">
        <v>136</v>
      </c>
      <c r="B137" t="str">
        <f t="shared" si="2"/>
        <v>cronicanoticias.cl</v>
      </c>
    </row>
    <row r="138" spans="1:2" ht="45.75" thickBot="1">
      <c r="A138" s="1" t="s">
        <v>137</v>
      </c>
      <c r="B138" t="str">
        <f t="shared" si="2"/>
        <v>radiocondell.cl</v>
      </c>
    </row>
    <row r="139" spans="1:2" ht="30.75" thickBot="1">
      <c r="A139" s="1" t="s">
        <v>138</v>
      </c>
      <c r="B139" t="str">
        <f t="shared" si="2"/>
        <v>diariolaprensa.cl</v>
      </c>
    </row>
    <row r="140" spans="1:2" ht="30.75" thickBot="1">
      <c r="A140" s="1" t="s">
        <v>139</v>
      </c>
      <c r="B140" t="str">
        <f t="shared" si="2"/>
        <v>vivimoslanoticia.cl</v>
      </c>
    </row>
    <row r="141" spans="1:2" ht="15.75" thickBot="1">
      <c r="A141" s="3" t="s">
        <v>140</v>
      </c>
      <c r="B141" t="str">
        <f t="shared" si="2"/>
        <v>biobiochile.cl</v>
      </c>
    </row>
    <row r="142" spans="1:2" ht="15.75" thickBot="1">
      <c r="A142" s="1" t="s">
        <v>141</v>
      </c>
      <c r="B142" t="str">
        <f t="shared" si="2"/>
        <v>eldivisadero.cl</v>
      </c>
    </row>
    <row r="143" spans="1:2" ht="30.75" thickBot="1">
      <c r="A143" s="1" t="s">
        <v>142</v>
      </c>
      <c r="B143" t="str">
        <f t="shared" si="2"/>
        <v>cl.iurex.com</v>
      </c>
    </row>
    <row r="144" spans="1:2" ht="15.75" thickBot="1">
      <c r="A144" s="3" t="s">
        <v>143</v>
      </c>
      <c r="B144" t="str">
        <f t="shared" si="2"/>
        <v>biobiochile.cl</v>
      </c>
    </row>
    <row r="145" spans="1:2" ht="45.75" thickBot="1">
      <c r="A145" s="1" t="s">
        <v>144</v>
      </c>
      <c r="B145" t="str">
        <f t="shared" si="2"/>
        <v>lasnoticiasdemalleco.cl</v>
      </c>
    </row>
    <row r="146" spans="1:2" ht="45.75" thickBot="1">
      <c r="A146" s="1" t="s">
        <v>145</v>
      </c>
      <c r="B146" t="str">
        <f t="shared" si="2"/>
        <v>msn.com</v>
      </c>
    </row>
    <row r="147" spans="1:2" ht="30.75" thickBot="1">
      <c r="A147" s="1" t="s">
        <v>146</v>
      </c>
      <c r="B147" t="str">
        <f t="shared" si="2"/>
        <v>latercera.com</v>
      </c>
    </row>
    <row r="148" spans="1:2" ht="45.75" thickBot="1">
      <c r="A148" s="1" t="s">
        <v>147</v>
      </c>
      <c r="B148" t="str">
        <f t="shared" si="2"/>
        <v>24horas.cl</v>
      </c>
    </row>
    <row r="149" spans="1:2" ht="30.75" thickBot="1">
      <c r="A149" s="1" t="s">
        <v>148</v>
      </c>
      <c r="B149" t="str">
        <f t="shared" si="2"/>
        <v>docs.google.com</v>
      </c>
    </row>
    <row r="150" spans="1:2" ht="15.75" thickBot="1">
      <c r="A150" s="4" t="s">
        <v>149</v>
      </c>
      <c r="B150" t="str">
        <f t="shared" si="2"/>
        <v>minmujeryeg.cl</v>
      </c>
    </row>
    <row r="151" spans="1:2" ht="15.75" thickBot="1">
      <c r="A151" s="4" t="s">
        <v>150</v>
      </c>
      <c r="B151" t="str">
        <f t="shared" si="2"/>
        <v>diarioeldia.cl</v>
      </c>
    </row>
    <row r="152" spans="1:2" ht="45.75" thickBot="1">
      <c r="A152" s="1" t="s">
        <v>151</v>
      </c>
      <c r="B152" t="str">
        <f t="shared" si="2"/>
        <v>publimetro.cl</v>
      </c>
    </row>
    <row r="153" spans="1:2" ht="30.75" thickBot="1">
      <c r="A153" s="1" t="s">
        <v>152</v>
      </c>
      <c r="B153" t="str">
        <f t="shared" si="2"/>
        <v>diarioeldia.cl</v>
      </c>
    </row>
    <row r="154" spans="1:2" ht="30.75" thickBot="1">
      <c r="A154" s="1" t="s">
        <v>153</v>
      </c>
      <c r="B154" t="str">
        <f t="shared" si="2"/>
        <v>diarioeldia.cl</v>
      </c>
    </row>
    <row r="155" spans="1:2" ht="45.75" thickBot="1">
      <c r="A155" s="1" t="s">
        <v>154</v>
      </c>
      <c r="B155" t="str">
        <f t="shared" si="2"/>
        <v>cooperativa.cl</v>
      </c>
    </row>
    <row r="156" spans="1:2" ht="45.75" thickBot="1">
      <c r="A156" s="1" t="s">
        <v>155</v>
      </c>
      <c r="B156" t="str">
        <f t="shared" si="2"/>
        <v>soychile.cl</v>
      </c>
    </row>
    <row r="157" spans="1:2" ht="45.75" thickBot="1">
      <c r="A157" s="1" t="s">
        <v>156</v>
      </c>
      <c r="B157" t="str">
        <f t="shared" si="2"/>
        <v>24horas.cl</v>
      </c>
    </row>
    <row r="158" spans="1:2" ht="45.75" thickBot="1">
      <c r="A158" s="5" t="s">
        <v>157</v>
      </c>
      <c r="B158" t="str">
        <f t="shared" si="2"/>
        <v>aa.com.tr</v>
      </c>
    </row>
    <row r="159" spans="1:2" ht="45.75" thickBot="1">
      <c r="A159" s="1" t="s">
        <v>158</v>
      </c>
      <c r="B159" t="str">
        <f t="shared" si="2"/>
        <v>cooperativa.cl</v>
      </c>
    </row>
    <row r="160" spans="1:2" ht="30.75" thickBot="1">
      <c r="A160" s="1" t="s">
        <v>159</v>
      </c>
      <c r="B160" t="str">
        <f t="shared" si="2"/>
        <v>aa.com.tr</v>
      </c>
    </row>
    <row r="161" spans="1:2" ht="30.75" thickBot="1">
      <c r="A161" s="1" t="s">
        <v>160</v>
      </c>
      <c r="B161" t="str">
        <f t="shared" si="2"/>
        <v>costurerassinfronteras.blogspot.com</v>
      </c>
    </row>
    <row r="162" spans="1:2" ht="15.75" thickBot="1">
      <c r="A162" s="4" t="s">
        <v>161</v>
      </c>
      <c r="B162" t="str">
        <f t="shared" si="2"/>
        <v>tvcanal5.cl</v>
      </c>
    </row>
    <row r="163" spans="1:2" ht="45.75" thickBot="1">
      <c r="A163" s="1" t="s">
        <v>162</v>
      </c>
      <c r="B163" t="str">
        <f t="shared" si="2"/>
        <v>cooperativa.cl</v>
      </c>
    </row>
    <row r="164" spans="1:2" ht="30.75" thickBot="1">
      <c r="A164" s="1" t="s">
        <v>163</v>
      </c>
      <c r="B164" t="str">
        <f t="shared" si="2"/>
        <v>reportechile.net</v>
      </c>
    </row>
    <row r="165" spans="1:2" ht="15.75" thickBot="1">
      <c r="A165" s="4" t="s">
        <v>164</v>
      </c>
      <c r="B165" t="str">
        <f t="shared" si="2"/>
        <v>elchelenko.cl</v>
      </c>
    </row>
    <row r="166" spans="1:2" ht="30.75" thickBot="1">
      <c r="A166" s="1" t="s">
        <v>165</v>
      </c>
      <c r="B166" t="str">
        <f t="shared" si="2"/>
        <v>elchelenko.cl</v>
      </c>
    </row>
    <row r="167" spans="1:2" ht="15.75" thickBot="1">
      <c r="A167" s="1" t="s">
        <v>166</v>
      </c>
      <c r="B167" t="str">
        <f t="shared" si="2"/>
        <v>eldivisadero.cl</v>
      </c>
    </row>
    <row r="168" spans="1:2" ht="15.75" thickBot="1">
      <c r="A168" s="3" t="s">
        <v>167</v>
      </c>
      <c r="B168" t="str">
        <f t="shared" si="2"/>
        <v>biobiochile.cl</v>
      </c>
    </row>
    <row r="169" spans="1:2" ht="15.75" thickBot="1">
      <c r="A169" s="1" t="s">
        <v>168</v>
      </c>
      <c r="B169" t="str">
        <f t="shared" si="2"/>
        <v>radioestrelladelmar.cl</v>
      </c>
    </row>
    <row r="170" spans="1:2" ht="30.75" thickBot="1">
      <c r="A170" s="1" t="s">
        <v>169</v>
      </c>
      <c r="B170" t="str">
        <f t="shared" si="2"/>
        <v>laprensaaustral.cl</v>
      </c>
    </row>
    <row r="171" spans="1:2" ht="15.75" thickBot="1">
      <c r="A171" s="1" t="s">
        <v>170</v>
      </c>
      <c r="B171" t="str">
        <f t="shared" si="2"/>
        <v>tvcanal5.cl</v>
      </c>
    </row>
    <row r="172" spans="1:2" ht="30.75" thickBot="1">
      <c r="A172" s="1" t="s">
        <v>171</v>
      </c>
      <c r="B172" t="str">
        <f t="shared" si="2"/>
        <v>latercera.com</v>
      </c>
    </row>
    <row r="173" spans="1:2" ht="45.75" thickBot="1">
      <c r="A173" s="1" t="s">
        <v>172</v>
      </c>
      <c r="B173" t="str">
        <f t="shared" si="2"/>
        <v>cooperativa.cl</v>
      </c>
    </row>
    <row r="174" spans="1:2" ht="15.75" thickBot="1">
      <c r="A174" s="3" t="s">
        <v>173</v>
      </c>
      <c r="B174" t="str">
        <f t="shared" si="2"/>
        <v>biobiochile.cl</v>
      </c>
    </row>
    <row r="175" spans="1:2" ht="45.75" thickBot="1">
      <c r="A175" s="1" t="s">
        <v>174</v>
      </c>
      <c r="B175" t="str">
        <f t="shared" si="2"/>
        <v>soychile.cl</v>
      </c>
    </row>
    <row r="176" spans="1:2" ht="30.75" thickBot="1">
      <c r="A176" s="1" t="s">
        <v>175</v>
      </c>
      <c r="B176" t="str">
        <f t="shared" si="2"/>
        <v>puentealtoaldia.cl</v>
      </c>
    </row>
    <row r="177" spans="1:2" ht="45.75" thickBot="1">
      <c r="A177" s="1" t="s">
        <v>176</v>
      </c>
      <c r="B177" t="str">
        <f t="shared" si="2"/>
        <v>eldesconcierto.cl</v>
      </c>
    </row>
    <row r="178" spans="1:2" ht="15.75" thickBot="1">
      <c r="A178" s="3" t="s">
        <v>177</v>
      </c>
      <c r="B178" t="str">
        <f t="shared" si="2"/>
        <v>cooperativa.cl</v>
      </c>
    </row>
    <row r="179" spans="1:2" ht="45.75" thickBot="1">
      <c r="A179" s="1" t="s">
        <v>178</v>
      </c>
      <c r="B179" t="str">
        <f t="shared" si="2"/>
        <v>cooperativa.cl</v>
      </c>
    </row>
    <row r="180" spans="1:2" ht="45.75" thickBot="1">
      <c r="A180" s="1" t="s">
        <v>179</v>
      </c>
      <c r="B180" t="str">
        <f t="shared" si="2"/>
        <v>soychile.cl</v>
      </c>
    </row>
    <row r="181" spans="1:2" ht="45.75" thickBot="1">
      <c r="A181" s="1" t="s">
        <v>180</v>
      </c>
      <c r="B181" t="str">
        <f t="shared" si="2"/>
        <v>chvnoticias.cl</v>
      </c>
    </row>
    <row r="182" spans="1:2" ht="15.75" thickBot="1">
      <c r="A182" s="3" t="s">
        <v>181</v>
      </c>
      <c r="B182" t="str">
        <f t="shared" si="2"/>
        <v>soychile.cl</v>
      </c>
    </row>
    <row r="183" spans="1:2" ht="15.75" thickBot="1">
      <c r="A183" s="3" t="s">
        <v>182</v>
      </c>
      <c r="B183" t="str">
        <f t="shared" si="2"/>
        <v>minmujeryeg.cl</v>
      </c>
    </row>
    <row r="184" spans="1:2" ht="30.75" thickBot="1">
      <c r="A184" s="1" t="s">
        <v>183</v>
      </c>
      <c r="B184" t="str">
        <f t="shared" si="2"/>
        <v>latercera.com</v>
      </c>
    </row>
    <row r="185" spans="1:2" ht="30.75" thickBot="1">
      <c r="A185" s="1" t="s">
        <v>184</v>
      </c>
      <c r="B185" t="str">
        <f t="shared" si="2"/>
        <v>latercera.com</v>
      </c>
    </row>
    <row r="186" spans="1:2" ht="15.75" thickBot="1">
      <c r="A186" s="3" t="s">
        <v>185</v>
      </c>
      <c r="B186" t="str">
        <f t="shared" si="2"/>
        <v>biobiochile.cl</v>
      </c>
    </row>
    <row r="187" spans="1:2" ht="45.75" thickBot="1">
      <c r="A187" s="1" t="s">
        <v>186</v>
      </c>
      <c r="B187" t="str">
        <f t="shared" si="2"/>
        <v>adnradio.cl</v>
      </c>
    </row>
    <row r="188" spans="1:2" ht="45.75" thickBot="1">
      <c r="A188" s="1" t="s">
        <v>187</v>
      </c>
      <c r="B188" t="str">
        <f t="shared" si="2"/>
        <v>panorama.com.ve</v>
      </c>
    </row>
    <row r="189" spans="1:2" ht="30.75" thickBot="1">
      <c r="A189" s="1" t="s">
        <v>188</v>
      </c>
      <c r="B189" t="str">
        <f t="shared" si="2"/>
        <v>segundoenfoque.com</v>
      </c>
    </row>
    <row r="190" spans="1:2" ht="30.75" thickBot="1">
      <c r="A190" s="1" t="s">
        <v>189</v>
      </c>
      <c r="B190" t="str">
        <f t="shared" si="2"/>
        <v>ntn24.com</v>
      </c>
    </row>
    <row r="191" spans="1:2" ht="15.75" thickBot="1">
      <c r="A191" s="3" t="s">
        <v>190</v>
      </c>
      <c r="B191" t="str">
        <f t="shared" si="2"/>
        <v>biobiochile.cl</v>
      </c>
    </row>
    <row r="192" spans="1:2" ht="15.75" thickBot="1">
      <c r="A192" s="3" t="s">
        <v>191</v>
      </c>
      <c r="B192" t="str">
        <f t="shared" si="2"/>
        <v>biobiochile.cl</v>
      </c>
    </row>
    <row r="193" spans="1:2" ht="45.75" thickBot="1">
      <c r="A193" s="1" t="s">
        <v>192</v>
      </c>
      <c r="B193" t="str">
        <f t="shared" ref="B193:B256" si="3">SUBSTITUTE(IF(SUBSTITUTE(SUBSTITUTE(IF(RIGHT(MyExtract(A193,3,"F","/"),1)="/",LEFT(MyExtract(A193,3,"F","/"),LEN(MyExtract(A193,3,"F","/"))-1),MyExtract(A193,3,"F","/")),"http://","",1),"www.","",1)="*",A193,SUBSTITUTE(SUBSTITUTE(IF(RIGHT(MyExtract(A193,3,"F","/"),1)="/",LEFT(MyExtract(A193,3,"F","/"),LEN(MyExtract(A193,3,"F","/"))-1),MyExtract(A193,3,"F","/")),"http://","",1),"www.","")),"www.","")</f>
        <v>biobiochile.cl</v>
      </c>
    </row>
    <row r="194" spans="1:2" ht="15.75" thickBot="1">
      <c r="A194" s="3" t="s">
        <v>193</v>
      </c>
      <c r="B194" t="str">
        <f t="shared" si="3"/>
        <v>biobiochile.cl</v>
      </c>
    </row>
    <row r="195" spans="1:2" ht="45.75" thickBot="1">
      <c r="A195" s="1" t="s">
        <v>194</v>
      </c>
      <c r="B195" t="str">
        <f t="shared" si="3"/>
        <v>chvnoticias.cl</v>
      </c>
    </row>
    <row r="196" spans="1:2" ht="45.75" thickBot="1">
      <c r="A196" s="1" t="s">
        <v>195</v>
      </c>
      <c r="B196" t="str">
        <f t="shared" si="3"/>
        <v>m.cooperativa.cl</v>
      </c>
    </row>
    <row r="197" spans="1:2" ht="45.75" thickBot="1">
      <c r="A197" s="1" t="s">
        <v>196</v>
      </c>
      <c r="B197" t="str">
        <f t="shared" si="3"/>
        <v>cooperativa.cl</v>
      </c>
    </row>
    <row r="198" spans="1:2" ht="45.75" thickBot="1">
      <c r="A198" s="1" t="s">
        <v>197</v>
      </c>
      <c r="B198" t="str">
        <f t="shared" si="3"/>
        <v>biobiochile.cl</v>
      </c>
    </row>
    <row r="199" spans="1:2" ht="45.75" thickBot="1">
      <c r="A199" s="1" t="s">
        <v>198</v>
      </c>
      <c r="B199" t="str">
        <f t="shared" si="3"/>
        <v>biobiochile.cl</v>
      </c>
    </row>
    <row r="200" spans="1:2" ht="45.75" thickBot="1">
      <c r="A200" s="1" t="s">
        <v>199</v>
      </c>
      <c r="B200" t="str">
        <f t="shared" si="3"/>
        <v>tvcanal5.cl</v>
      </c>
    </row>
    <row r="201" spans="1:2" ht="45.75" thickBot="1">
      <c r="A201" s="1" t="s">
        <v>200</v>
      </c>
      <c r="B201" t="str">
        <f t="shared" si="3"/>
        <v>emol.com</v>
      </c>
    </row>
    <row r="202" spans="1:2" ht="30.75" thickBot="1">
      <c r="A202" s="1" t="s">
        <v>201</v>
      </c>
      <c r="B202" t="str">
        <f t="shared" si="3"/>
        <v>voceroregional.cl</v>
      </c>
    </row>
    <row r="203" spans="1:2" ht="45.75" thickBot="1">
      <c r="A203" s="1" t="s">
        <v>202</v>
      </c>
      <c r="B203" t="str">
        <f t="shared" si="3"/>
        <v>rioenlinea.cl</v>
      </c>
    </row>
    <row r="204" spans="1:2" ht="45.75" thickBot="1">
      <c r="A204" s="1" t="s">
        <v>203</v>
      </c>
      <c r="B204" t="str">
        <f t="shared" si="3"/>
        <v>cooperativa.cl</v>
      </c>
    </row>
    <row r="205" spans="1:2" ht="45.75" thickBot="1">
      <c r="A205" s="1" t="s">
        <v>204</v>
      </c>
      <c r="B205" t="str">
        <f t="shared" si="3"/>
        <v>soychile.cl</v>
      </c>
    </row>
    <row r="206" spans="1:2" ht="30.75" thickBot="1">
      <c r="A206" s="1" t="s">
        <v>205</v>
      </c>
      <c r="B206" t="str">
        <f t="shared" si="3"/>
        <v>theclinic.cl</v>
      </c>
    </row>
    <row r="207" spans="1:2" ht="30.75" thickBot="1">
      <c r="A207" s="1" t="s">
        <v>206</v>
      </c>
      <c r="B207" t="str">
        <f t="shared" si="3"/>
        <v>cronicaviva.com.pe</v>
      </c>
    </row>
    <row r="208" spans="1:2" ht="30.75" thickBot="1">
      <c r="A208" s="1" t="s">
        <v>207</v>
      </c>
      <c r="B208" t="str">
        <f t="shared" si="3"/>
        <v>24horas.cl</v>
      </c>
    </row>
    <row r="209" spans="1:2" ht="30.75" thickBot="1">
      <c r="A209" s="1" t="s">
        <v>208</v>
      </c>
      <c r="B209" t="str">
        <f t="shared" si="3"/>
        <v>chvnoticias.cl</v>
      </c>
    </row>
    <row r="210" spans="1:2" ht="45.75" thickBot="1">
      <c r="A210" s="1" t="s">
        <v>209</v>
      </c>
      <c r="B210" t="str">
        <f t="shared" si="3"/>
        <v>emol.com</v>
      </c>
    </row>
    <row r="211" spans="1:2" ht="30.75" thickBot="1">
      <c r="A211" s="1" t="s">
        <v>210</v>
      </c>
      <c r="B211" t="str">
        <f t="shared" si="3"/>
        <v>femicidioschile.blogspot.com</v>
      </c>
    </row>
    <row r="212" spans="1:2" ht="30.75" thickBot="1">
      <c r="A212" s="1" t="s">
        <v>211</v>
      </c>
      <c r="B212" t="str">
        <f t="shared" si="3"/>
        <v>facebook.com</v>
      </c>
    </row>
    <row r="213" spans="1:2" ht="30.75" thickBot="1">
      <c r="A213" s="1" t="s">
        <v>212</v>
      </c>
      <c r="B213" t="str">
        <f t="shared" si="3"/>
        <v>araucaniacuenta.cl</v>
      </c>
    </row>
    <row r="214" spans="1:2" ht="45.75" thickBot="1">
      <c r="A214" s="1" t="s">
        <v>213</v>
      </c>
      <c r="B214" t="str">
        <f t="shared" si="3"/>
        <v>elciudadano.cl</v>
      </c>
    </row>
    <row r="215" spans="1:2" ht="45.75" thickBot="1">
      <c r="A215" s="1" t="s">
        <v>214</v>
      </c>
      <c r="B215" t="str">
        <f t="shared" si="3"/>
        <v>theclinic.cl</v>
      </c>
    </row>
    <row r="216" spans="1:2" ht="30.75" thickBot="1">
      <c r="A216" s="1" t="s">
        <v>215</v>
      </c>
      <c r="B216" t="str">
        <f t="shared" si="3"/>
        <v>portal.sernam.cl</v>
      </c>
    </row>
    <row r="217" spans="1:2" ht="15.75" thickBot="1">
      <c r="A217" s="3" t="s">
        <v>216</v>
      </c>
      <c r="B217" t="str">
        <f t="shared" si="3"/>
        <v>biobiochile.cl</v>
      </c>
    </row>
    <row r="218" spans="1:2" ht="30.75" thickBot="1">
      <c r="A218" s="1" t="s">
        <v>217</v>
      </c>
      <c r="B218" t="str">
        <f t="shared" si="3"/>
        <v>abc.com.py</v>
      </c>
    </row>
    <row r="219" spans="1:2" ht="30.75" thickBot="1">
      <c r="A219" s="1" t="s">
        <v>218</v>
      </c>
      <c r="B219" t="str">
        <f t="shared" si="3"/>
        <v>eldinamo.cl</v>
      </c>
    </row>
    <row r="220" spans="1:2" ht="30.75" thickBot="1">
      <c r="A220" s="1" t="s">
        <v>219</v>
      </c>
      <c r="B220" t="str">
        <f t="shared" si="3"/>
        <v>mqltv.com</v>
      </c>
    </row>
    <row r="221" spans="1:2" ht="30.75" thickBot="1">
      <c r="A221" s="1" t="s">
        <v>220</v>
      </c>
      <c r="B221" t="str">
        <f t="shared" si="3"/>
        <v>quieroelegir.cl</v>
      </c>
    </row>
    <row r="222" spans="1:2" ht="30.75" thickBot="1">
      <c r="A222" s="1" t="s">
        <v>221</v>
      </c>
      <c r="B222" t="str">
        <f t="shared" si="3"/>
        <v>desdelatorre5.wordpress.com</v>
      </c>
    </row>
    <row r="223" spans="1:2" ht="30.75" thickBot="1">
      <c r="A223" s="1" t="s">
        <v>222</v>
      </c>
      <c r="B223" t="str">
        <f t="shared" si="3"/>
        <v>portal.sernam.cl</v>
      </c>
    </row>
    <row r="224" spans="1:2" ht="45.75" thickBot="1">
      <c r="A224" s="1" t="s">
        <v>223</v>
      </c>
      <c r="B224" t="str">
        <f t="shared" si="3"/>
        <v>prensa.presidencia.cl</v>
      </c>
    </row>
    <row r="225" spans="1:2" ht="45.75" thickBot="1">
      <c r="A225" s="1" t="s">
        <v>224</v>
      </c>
      <c r="B225" t="str">
        <f t="shared" si="3"/>
        <v>biobiochile.cl</v>
      </c>
    </row>
    <row r="226" spans="1:2" ht="30.75" thickBot="1">
      <c r="A226" s="1" t="s">
        <v>225</v>
      </c>
      <c r="B226" t="str">
        <f t="shared" si="3"/>
        <v>debate.com.mx</v>
      </c>
    </row>
    <row r="227" spans="1:2" ht="45.75" thickBot="1">
      <c r="A227" s="1" t="s">
        <v>226</v>
      </c>
      <c r="B227" t="str">
        <f t="shared" si="3"/>
        <v>soychile.cl</v>
      </c>
    </row>
    <row r="228" spans="1:2" ht="45.75" thickBot="1">
      <c r="A228" s="1" t="s">
        <v>227</v>
      </c>
      <c r="B228" t="str">
        <f t="shared" si="3"/>
        <v>elciudadano.cl</v>
      </c>
    </row>
    <row r="229" spans="1:2" ht="45.75" thickBot="1">
      <c r="A229" s="1" t="s">
        <v>228</v>
      </c>
      <c r="B229" t="str">
        <f t="shared" si="3"/>
        <v>diarioantofagasta.cl</v>
      </c>
    </row>
    <row r="230" spans="1:2" ht="30.75" thickBot="1">
      <c r="A230" s="1" t="s">
        <v>229</v>
      </c>
      <c r="B230" t="str">
        <f t="shared" si="3"/>
        <v>laizquierdadiario.cl</v>
      </c>
    </row>
    <row r="231" spans="1:2" ht="45.75" thickBot="1">
      <c r="A231" s="1" t="s">
        <v>230</v>
      </c>
      <c r="B231" t="str">
        <f t="shared" si="3"/>
        <v>chvnoticias.cl</v>
      </c>
    </row>
    <row r="232" spans="1:2" ht="30.75" thickBot="1">
      <c r="A232" s="1" t="s">
        <v>231</v>
      </c>
      <c r="B232" t="str">
        <f t="shared" si="3"/>
        <v>24horas.cl</v>
      </c>
    </row>
    <row r="233" spans="1:2" ht="30.75" thickBot="1">
      <c r="A233" s="1" t="s">
        <v>232</v>
      </c>
      <c r="B233" t="str">
        <f t="shared" si="3"/>
        <v>m.facebook.com</v>
      </c>
    </row>
    <row r="234" spans="1:2" ht="30.75" thickBot="1">
      <c r="A234" s="1" t="s">
        <v>233</v>
      </c>
      <c r="B234" t="str">
        <f t="shared" si="3"/>
        <v>eltiempo.com</v>
      </c>
    </row>
    <row r="235" spans="1:2" ht="45.75" thickBot="1">
      <c r="A235" s="1" t="s">
        <v>234</v>
      </c>
      <c r="B235" t="str">
        <f t="shared" si="3"/>
        <v>biobiochile.cl</v>
      </c>
    </row>
    <row r="236" spans="1:2" ht="15.75" thickBot="1">
      <c r="A236" s="3" t="s">
        <v>235</v>
      </c>
      <c r="B236" t="str">
        <f t="shared" si="3"/>
        <v>biobiochile.cl</v>
      </c>
    </row>
    <row r="237" spans="1:2" ht="30.75" thickBot="1">
      <c r="A237" s="1" t="s">
        <v>236</v>
      </c>
      <c r="B237" t="str">
        <f t="shared" si="3"/>
        <v>semana.com</v>
      </c>
    </row>
    <row r="238" spans="1:2" ht="45.75" thickBot="1">
      <c r="A238" s="1" t="s">
        <v>237</v>
      </c>
      <c r="B238" t="str">
        <f t="shared" si="3"/>
        <v>elpais.com.co</v>
      </c>
    </row>
    <row r="239" spans="1:2" ht="45.75" thickBot="1">
      <c r="A239" s="1" t="s">
        <v>238</v>
      </c>
      <c r="B239" t="str">
        <f t="shared" si="3"/>
        <v>elpais.com.co</v>
      </c>
    </row>
    <row r="240" spans="1:2" ht="30.75" thickBot="1">
      <c r="A240" s="1" t="s">
        <v>239</v>
      </c>
      <c r="B240" t="str">
        <f t="shared" si="3"/>
        <v>24horas.cl</v>
      </c>
    </row>
    <row r="241" spans="1:2" ht="30.75" thickBot="1">
      <c r="A241" s="1" t="s">
        <v>240</v>
      </c>
      <c r="B241" t="str">
        <f t="shared" si="3"/>
        <v>24horas.cl</v>
      </c>
    </row>
    <row r="242" spans="1:2" ht="45.75" thickBot="1">
      <c r="A242" s="1" t="s">
        <v>241</v>
      </c>
      <c r="B242" t="str">
        <f t="shared" si="3"/>
        <v>emol.com</v>
      </c>
    </row>
    <row r="243" spans="1:2" ht="45.75" thickBot="1">
      <c r="A243" s="1" t="s">
        <v>242</v>
      </c>
      <c r="B243" t="str">
        <f t="shared" si="3"/>
        <v>chvnoticias.cl</v>
      </c>
    </row>
    <row r="244" spans="1:2" ht="45.75" thickBot="1">
      <c r="A244" s="1" t="s">
        <v>243</v>
      </c>
      <c r="B244" t="str">
        <f t="shared" si="3"/>
        <v>cooperativa.cl</v>
      </c>
    </row>
    <row r="245" spans="1:2" ht="45.75" thickBot="1">
      <c r="A245" s="1" t="s">
        <v>244</v>
      </c>
      <c r="B245" t="str">
        <f t="shared" si="3"/>
        <v>diariolasamericas.com</v>
      </c>
    </row>
    <row r="246" spans="1:2" ht="30.75" thickBot="1">
      <c r="A246" s="1" t="s">
        <v>245</v>
      </c>
      <c r="B246" t="str">
        <f t="shared" si="3"/>
        <v>elnuevodia.com</v>
      </c>
    </row>
    <row r="247" spans="1:2" ht="30.75" thickBot="1">
      <c r="A247" s="1" t="s">
        <v>246</v>
      </c>
      <c r="B247" t="str">
        <f t="shared" si="3"/>
        <v>rpp.pe</v>
      </c>
    </row>
    <row r="248" spans="1:2" ht="15.75" thickBot="1">
      <c r="A248" s="3" t="s">
        <v>247</v>
      </c>
      <c r="B248" t="str">
        <f t="shared" si="3"/>
        <v>minmujeryeg.cl</v>
      </c>
    </row>
    <row r="249" spans="1:2" ht="45.75" thickBot="1">
      <c r="A249" s="1" t="s">
        <v>248</v>
      </c>
      <c r="B249" t="str">
        <f t="shared" si="3"/>
        <v>elciudadano.cl</v>
      </c>
    </row>
    <row r="250" spans="1:2" ht="45.75" thickBot="1">
      <c r="A250" s="1" t="s">
        <v>249</v>
      </c>
      <c r="B250" t="str">
        <f t="shared" si="3"/>
        <v>elciudadano.cl</v>
      </c>
    </row>
    <row r="251" spans="1:2" ht="45.75" thickBot="1">
      <c r="A251" s="1" t="s">
        <v>250</v>
      </c>
      <c r="B251" t="str">
        <f t="shared" si="3"/>
        <v>diarioconcepcion.cl</v>
      </c>
    </row>
    <row r="252" spans="1:2" ht="45.75" thickBot="1">
      <c r="A252" s="1" t="s">
        <v>251</v>
      </c>
      <c r="B252" t="str">
        <f t="shared" si="3"/>
        <v>cooperativa.cl</v>
      </c>
    </row>
    <row r="253" spans="1:2" ht="30.75" thickBot="1">
      <c r="A253" s="1" t="s">
        <v>252</v>
      </c>
      <c r="B253" t="str">
        <f t="shared" si="3"/>
        <v>eldinamo.cl</v>
      </c>
    </row>
    <row r="254" spans="1:2" ht="45.75" thickBot="1">
      <c r="A254" s="1" t="s">
        <v>253</v>
      </c>
      <c r="B254" t="str">
        <f t="shared" si="3"/>
        <v>publimetro.cl</v>
      </c>
    </row>
    <row r="255" spans="1:2" ht="30.75" thickBot="1">
      <c r="A255" s="1" t="s">
        <v>254</v>
      </c>
      <c r="B255" t="str">
        <f t="shared" si="3"/>
        <v>24horas.cl</v>
      </c>
    </row>
    <row r="256" spans="1:2" ht="45.75" thickBot="1">
      <c r="A256" s="1" t="s">
        <v>255</v>
      </c>
      <c r="B256" t="str">
        <f t="shared" si="3"/>
        <v>emol.com</v>
      </c>
    </row>
    <row r="257" spans="1:2" ht="45.75" thickBot="1">
      <c r="A257" s="1" t="s">
        <v>256</v>
      </c>
      <c r="B257" t="str">
        <f t="shared" ref="B257:B320" si="4">SUBSTITUTE(IF(SUBSTITUTE(SUBSTITUTE(IF(RIGHT(MyExtract(A257,3,"F","/"),1)="/",LEFT(MyExtract(A257,3,"F","/"),LEN(MyExtract(A257,3,"F","/"))-1),MyExtract(A257,3,"F","/")),"http://","",1),"www.","",1)="*",A257,SUBSTITUTE(SUBSTITUTE(IF(RIGHT(MyExtract(A257,3,"F","/"),1)="/",LEFT(MyExtract(A257,3,"F","/"),LEN(MyExtract(A257,3,"F","/"))-1),MyExtract(A257,3,"F","/")),"http://","",1),"www.","")),"www.","")</f>
        <v>chvnoticias.cl</v>
      </c>
    </row>
    <row r="258" spans="1:2" ht="45.75" thickBot="1">
      <c r="A258" s="1" t="s">
        <v>257</v>
      </c>
      <c r="B258" t="str">
        <f t="shared" si="4"/>
        <v>biobiochile.cl</v>
      </c>
    </row>
    <row r="259" spans="1:2" ht="45.75" thickBot="1">
      <c r="A259" s="1" t="s">
        <v>258</v>
      </c>
      <c r="B259" t="str">
        <f t="shared" si="4"/>
        <v>eltipografo.cl</v>
      </c>
    </row>
    <row r="260" spans="1:2" ht="30.75" thickBot="1">
      <c r="A260" s="1" t="s">
        <v>259</v>
      </c>
      <c r="B260" t="str">
        <f t="shared" si="4"/>
        <v>eltipografo.cl</v>
      </c>
    </row>
    <row r="261" spans="1:2" ht="45.75" thickBot="1">
      <c r="A261" s="1" t="s">
        <v>260</v>
      </c>
      <c r="B261" t="str">
        <f t="shared" si="4"/>
        <v>cooperativa.cl</v>
      </c>
    </row>
    <row r="262" spans="1:2" ht="30.75" thickBot="1">
      <c r="A262" s="1" t="s">
        <v>261</v>
      </c>
      <c r="B262" t="str">
        <f t="shared" si="4"/>
        <v>tiempo21araucania.cl</v>
      </c>
    </row>
    <row r="263" spans="1:2" ht="15.75" thickBot="1">
      <c r="A263" s="1" t="s">
        <v>262</v>
      </c>
      <c r="B263" t="str">
        <f t="shared" si="4"/>
        <v>collipullense.cl</v>
      </c>
    </row>
    <row r="264" spans="1:2" ht="15.75" thickBot="1">
      <c r="A264" s="1" t="s">
        <v>263</v>
      </c>
      <c r="B264" t="str">
        <f t="shared" si="4"/>
        <v>youtube.com</v>
      </c>
    </row>
    <row r="265" spans="1:2" ht="15.75" thickBot="1">
      <c r="A265" s="1" t="s">
        <v>264</v>
      </c>
      <c r="B265" t="str">
        <f t="shared" si="4"/>
        <v>maray.cl</v>
      </c>
    </row>
    <row r="266" spans="1:2" ht="30.75" thickBot="1">
      <c r="A266" s="1" t="s">
        <v>265</v>
      </c>
      <c r="B266" t="str">
        <f t="shared" si="4"/>
        <v>lanueva.com</v>
      </c>
    </row>
    <row r="267" spans="1:2" ht="30.75" thickBot="1">
      <c r="A267" s="1" t="s">
        <v>266</v>
      </c>
      <c r="B267" t="str">
        <f t="shared" si="4"/>
        <v>biobiochile.cl</v>
      </c>
    </row>
    <row r="268" spans="1:2" ht="15.75" thickBot="1">
      <c r="A268" s="3" t="s">
        <v>267</v>
      </c>
      <c r="B268" t="str">
        <f t="shared" si="4"/>
        <v>elandino.cl</v>
      </c>
    </row>
    <row r="269" spans="1:2" ht="45.75" thickBot="1">
      <c r="A269" s="1" t="s">
        <v>268</v>
      </c>
      <c r="B269" t="str">
        <f t="shared" si="4"/>
        <v>soyaconcagua.cl</v>
      </c>
    </row>
    <row r="270" spans="1:2" ht="45.75" thickBot="1">
      <c r="A270" s="1" t="s">
        <v>269</v>
      </c>
      <c r="B270" t="str">
        <f t="shared" si="4"/>
        <v>observador.cl</v>
      </c>
    </row>
    <row r="271" spans="1:2" ht="45.75" thickBot="1">
      <c r="A271" s="1" t="s">
        <v>270</v>
      </c>
      <c r="B271" t="str">
        <f t="shared" si="4"/>
        <v>cooperativa.cl</v>
      </c>
    </row>
    <row r="272" spans="1:2" ht="30.75" thickBot="1">
      <c r="A272" s="1" t="s">
        <v>271</v>
      </c>
      <c r="B272" t="str">
        <f t="shared" si="4"/>
        <v>24horas.cl</v>
      </c>
    </row>
    <row r="273" spans="1:2" ht="45.75" thickBot="1">
      <c r="A273" s="1" t="s">
        <v>272</v>
      </c>
      <c r="B273" t="str">
        <f t="shared" si="4"/>
        <v>soychile.cl</v>
      </c>
    </row>
    <row r="274" spans="1:2" ht="15.75" thickBot="1">
      <c r="A274" s="3" t="s">
        <v>273</v>
      </c>
      <c r="B274" t="str">
        <f t="shared" si="4"/>
        <v>biobiochile.cl</v>
      </c>
    </row>
    <row r="275" spans="1:2" ht="45.75" thickBot="1">
      <c r="A275" s="1" t="s">
        <v>274</v>
      </c>
      <c r="B275" t="str">
        <f t="shared" si="4"/>
        <v>biobiochile.cl</v>
      </c>
    </row>
    <row r="276" spans="1:2" ht="45.75" thickBot="1">
      <c r="A276" s="5" t="s">
        <v>275</v>
      </c>
      <c r="B276" t="str">
        <f t="shared" si="4"/>
        <v>ladiscusion.cl</v>
      </c>
    </row>
    <row r="277" spans="1:2" ht="45.75" thickBot="1">
      <c r="A277" s="5" t="s">
        <v>276</v>
      </c>
      <c r="B277" t="str">
        <f t="shared" si="4"/>
        <v>ladiscusion.cl</v>
      </c>
    </row>
    <row r="278" spans="1:2" ht="45.75" thickBot="1">
      <c r="A278" s="1" t="s">
        <v>277</v>
      </c>
      <c r="B278" t="str">
        <f t="shared" si="4"/>
        <v>emol.com</v>
      </c>
    </row>
    <row r="279" spans="1:2" ht="45.75" thickBot="1">
      <c r="A279" s="1" t="s">
        <v>278</v>
      </c>
      <c r="B279" t="str">
        <f t="shared" si="4"/>
        <v>adnradio.cl</v>
      </c>
    </row>
    <row r="280" spans="1:2" ht="45.75" thickBot="1">
      <c r="A280" s="1" t="s">
        <v>279</v>
      </c>
      <c r="B280" t="str">
        <f t="shared" si="4"/>
        <v>ahoranoticias.cl</v>
      </c>
    </row>
    <row r="281" spans="1:2" ht="30.75" thickBot="1">
      <c r="A281" s="1" t="s">
        <v>280</v>
      </c>
      <c r="B281" t="str">
        <f t="shared" si="4"/>
        <v>chvnoticias.cl</v>
      </c>
    </row>
    <row r="282" spans="1:2" ht="45.75" thickBot="1">
      <c r="A282" s="1" t="s">
        <v>281</v>
      </c>
      <c r="B282" t="str">
        <f t="shared" si="4"/>
        <v>soychile.cl</v>
      </c>
    </row>
    <row r="283" spans="1:2" ht="45.75" thickBot="1">
      <c r="A283" s="1" t="s">
        <v>282</v>
      </c>
      <c r="B283" t="str">
        <f t="shared" si="4"/>
        <v>24horas.cl</v>
      </c>
    </row>
    <row r="284" spans="1:2" ht="45.75" thickBot="1">
      <c r="A284" s="1" t="s">
        <v>283</v>
      </c>
      <c r="B284" t="str">
        <f t="shared" si="4"/>
        <v>adnradio.cl</v>
      </c>
    </row>
    <row r="285" spans="1:2" ht="45.75" thickBot="1">
      <c r="A285" s="1" t="s">
        <v>284</v>
      </c>
      <c r="B285" t="str">
        <f t="shared" si="4"/>
        <v>emol.com</v>
      </c>
    </row>
    <row r="286" spans="1:2" ht="30.75" thickBot="1">
      <c r="A286" s="1" t="s">
        <v>285</v>
      </c>
      <c r="B286" t="str">
        <f t="shared" si="4"/>
        <v>tropezon.cl</v>
      </c>
    </row>
    <row r="287" spans="1:2" ht="30.75" thickBot="1">
      <c r="A287" s="1" t="s">
        <v>286</v>
      </c>
      <c r="B287" t="str">
        <f t="shared" si="4"/>
        <v>facebook.com</v>
      </c>
    </row>
    <row r="288" spans="1:2" ht="45.75" thickBot="1">
      <c r="A288" s="1" t="s">
        <v>287</v>
      </c>
      <c r="B288" t="str">
        <f t="shared" si="4"/>
        <v>24horas.cl</v>
      </c>
    </row>
    <row r="289" spans="1:2" ht="45.75" thickBot="1">
      <c r="A289" s="1" t="s">
        <v>288</v>
      </c>
      <c r="B289" t="str">
        <f t="shared" si="4"/>
        <v>biobiochile.cl</v>
      </c>
    </row>
    <row r="290" spans="1:2" ht="30.75" thickBot="1">
      <c r="A290" s="1" t="s">
        <v>289</v>
      </c>
      <c r="B290" t="str">
        <f t="shared" si="4"/>
        <v>chvnoticias.cl</v>
      </c>
    </row>
    <row r="291" spans="1:2" ht="30.75" thickBot="1">
      <c r="A291" s="1" t="s">
        <v>290</v>
      </c>
      <c r="B291" t="str">
        <f t="shared" si="4"/>
        <v>lanoticiaonline.cl</v>
      </c>
    </row>
    <row r="292" spans="1:2" ht="30.75" thickBot="1">
      <c r="A292" s="1" t="s">
        <v>291</v>
      </c>
      <c r="B292" t="str">
        <f t="shared" si="4"/>
        <v>pressreader.com</v>
      </c>
    </row>
    <row r="293" spans="1:2" ht="45.75" thickBot="1">
      <c r="A293" s="1" t="s">
        <v>292</v>
      </c>
      <c r="B293" t="str">
        <f t="shared" si="4"/>
        <v>emol.com</v>
      </c>
    </row>
    <row r="294" spans="1:2" ht="30.75" thickBot="1">
      <c r="A294" s="1" t="s">
        <v>293</v>
      </c>
      <c r="B294" t="str">
        <f t="shared" si="4"/>
        <v>t13.cl</v>
      </c>
    </row>
    <row r="295" spans="1:2" ht="30.75" thickBot="1">
      <c r="A295" s="1" t="s">
        <v>294</v>
      </c>
      <c r="B295" t="str">
        <f t="shared" si="4"/>
        <v>eldinamo.cl</v>
      </c>
    </row>
    <row r="296" spans="1:2" ht="45.75" thickBot="1">
      <c r="A296" s="1" t="s">
        <v>295</v>
      </c>
      <c r="B296" t="str">
        <f t="shared" si="4"/>
        <v>publimetro.cl</v>
      </c>
    </row>
    <row r="297" spans="1:2" ht="30.75" thickBot="1">
      <c r="A297" s="1" t="s">
        <v>296</v>
      </c>
      <c r="B297" t="str">
        <f t="shared" si="4"/>
        <v>lacuarta.com</v>
      </c>
    </row>
    <row r="298" spans="1:2" ht="15.75" thickBot="1">
      <c r="A298" s="3" t="s">
        <v>297</v>
      </c>
      <c r="B298" t="str">
        <f t="shared" si="4"/>
        <v>biobiochile.cl</v>
      </c>
    </row>
    <row r="299" spans="1:2" ht="30.75" thickBot="1">
      <c r="A299" s="1" t="s">
        <v>298</v>
      </c>
      <c r="B299" t="str">
        <f t="shared" si="4"/>
        <v>laprensaaustral.cl</v>
      </c>
    </row>
    <row r="300" spans="1:2" ht="45.75" thickBot="1">
      <c r="A300" s="1" t="s">
        <v>299</v>
      </c>
      <c r="B300" t="str">
        <f t="shared" si="4"/>
        <v>biobiochile.cl</v>
      </c>
    </row>
    <row r="301" spans="1:2" ht="45.75" thickBot="1">
      <c r="A301" s="1" t="s">
        <v>300</v>
      </c>
      <c r="B301" t="str">
        <f t="shared" si="4"/>
        <v>elpinguino.com</v>
      </c>
    </row>
    <row r="302" spans="1:2" ht="45.75" thickBot="1">
      <c r="A302" s="1" t="s">
        <v>301</v>
      </c>
      <c r="B302" t="str">
        <f t="shared" si="4"/>
        <v>elpinguino.com</v>
      </c>
    </row>
    <row r="303" spans="1:2" ht="30.75" thickBot="1">
      <c r="A303" s="1" t="s">
        <v>302</v>
      </c>
      <c r="B303" t="str">
        <f t="shared" si="4"/>
        <v>pagina12.com.ar</v>
      </c>
    </row>
    <row r="304" spans="1:2" ht="30.75" thickBot="1">
      <c r="A304" s="1" t="s">
        <v>303</v>
      </c>
      <c r="B304" t="str">
        <f t="shared" si="4"/>
        <v>eldinamo.cl</v>
      </c>
    </row>
    <row r="305" spans="1:2" ht="45.75" thickBot="1">
      <c r="A305" s="1" t="s">
        <v>304</v>
      </c>
      <c r="B305" t="str">
        <f t="shared" si="4"/>
        <v>elmostrador.cl</v>
      </c>
    </row>
    <row r="306" spans="1:2" ht="45.75" thickBot="1">
      <c r="A306" s="1" t="s">
        <v>305</v>
      </c>
      <c r="B306" t="str">
        <f t="shared" si="4"/>
        <v>elciudadano.cl</v>
      </c>
    </row>
    <row r="307" spans="1:2" ht="45.75" thickBot="1">
      <c r="A307" s="1" t="s">
        <v>306</v>
      </c>
      <c r="B307" t="str">
        <f t="shared" si="4"/>
        <v>soychile.cl</v>
      </c>
    </row>
    <row r="308" spans="1:2" ht="30.75" thickBot="1">
      <c r="A308" s="1" t="s">
        <v>307</v>
      </c>
      <c r="B308" t="str">
        <f t="shared" si="4"/>
        <v>larepublica.pe</v>
      </c>
    </row>
    <row r="309" spans="1:2" ht="15.75" thickBot="1">
      <c r="A309" s="1" t="s">
        <v>308</v>
      </c>
      <c r="B309" t="str">
        <f t="shared" si="4"/>
        <v>radiouno.pe</v>
      </c>
    </row>
    <row r="310" spans="1:2" ht="15.75" thickBot="1">
      <c r="A310" s="3" t="s">
        <v>309</v>
      </c>
      <c r="B310" t="str">
        <f t="shared" si="4"/>
        <v>biobiochile.cl</v>
      </c>
    </row>
    <row r="311" spans="1:2" ht="45.75" thickBot="1">
      <c r="A311" s="1" t="s">
        <v>310</v>
      </c>
      <c r="B311" t="str">
        <f t="shared" si="4"/>
        <v>americatv.com.pe</v>
      </c>
    </row>
    <row r="312" spans="1:2" ht="30.75" thickBot="1">
      <c r="A312" s="1" t="s">
        <v>311</v>
      </c>
      <c r="B312" t="str">
        <f t="shared" si="4"/>
        <v>eldeber.com.bo</v>
      </c>
    </row>
    <row r="313" spans="1:2" ht="30.75" thickBot="1">
      <c r="A313" s="1" t="s">
        <v>312</v>
      </c>
      <c r="B313" t="str">
        <f t="shared" si="4"/>
        <v>mendozapost.com</v>
      </c>
    </row>
    <row r="314" spans="1:2" ht="45.75" thickBot="1">
      <c r="A314" s="1" t="s">
        <v>313</v>
      </c>
      <c r="B314" t="str">
        <f t="shared" si="4"/>
        <v>diariouno.com.ar</v>
      </c>
    </row>
    <row r="315" spans="1:2" ht="30.75" thickBot="1">
      <c r="A315" s="1" t="s">
        <v>314</v>
      </c>
      <c r="B315" t="str">
        <f t="shared" si="4"/>
        <v>losandes.com.ar</v>
      </c>
    </row>
    <row r="316" spans="1:2" ht="30.75" thickBot="1">
      <c r="A316" s="1" t="s">
        <v>315</v>
      </c>
      <c r="B316" t="str">
        <f t="shared" si="4"/>
        <v>paraguay.com</v>
      </c>
    </row>
    <row r="317" spans="1:2" ht="15.75" thickBot="1">
      <c r="A317" s="1" t="s">
        <v>316</v>
      </c>
      <c r="B317" t="str">
        <f t="shared" si="4"/>
        <v>sitioandino.com.ar</v>
      </c>
    </row>
    <row r="318" spans="1:2" ht="30.75" thickBot="1">
      <c r="A318" s="1" t="s">
        <v>317</v>
      </c>
      <c r="B318" t="str">
        <f t="shared" si="4"/>
        <v>infobae.com</v>
      </c>
    </row>
    <row r="319" spans="1:2" ht="15.75" thickBot="1">
      <c r="A319" s="3" t="s">
        <v>318</v>
      </c>
      <c r="B319" t="str">
        <f t="shared" si="4"/>
        <v>biobiochile.cl</v>
      </c>
    </row>
    <row r="320" spans="1:2" ht="45.75" thickBot="1">
      <c r="A320" s="1" t="s">
        <v>319</v>
      </c>
      <c r="B320" t="str">
        <f t="shared" si="4"/>
        <v>chvnoticias.cl</v>
      </c>
    </row>
    <row r="321" spans="1:2" ht="45.75" thickBot="1">
      <c r="A321" s="1" t="s">
        <v>320</v>
      </c>
      <c r="B321" t="str">
        <f t="shared" ref="B321:B384" si="5">SUBSTITUTE(IF(SUBSTITUTE(SUBSTITUTE(IF(RIGHT(MyExtract(A321,3,"F","/"),1)="/",LEFT(MyExtract(A321,3,"F","/"),LEN(MyExtract(A321,3,"F","/"))-1),MyExtract(A321,3,"F","/")),"http://","",1),"www.","",1)="*",A321,SUBSTITUTE(SUBSTITUTE(IF(RIGHT(MyExtract(A321,3,"F","/"),1)="/",LEFT(MyExtract(A321,3,"F","/"),LEN(MyExtract(A321,3,"F","/"))-1),MyExtract(A321,3,"F","/")),"http://","",1),"www.","")),"www.","")</f>
        <v>latendencia.cl</v>
      </c>
    </row>
    <row r="322" spans="1:2" ht="45.75" thickBot="1">
      <c r="A322" s="1" t="s">
        <v>321</v>
      </c>
      <c r="B322" t="str">
        <f t="shared" si="5"/>
        <v>emergenciaspuertomontt.cl</v>
      </c>
    </row>
    <row r="323" spans="1:2" ht="45.75" thickBot="1">
      <c r="A323" s="1" t="s">
        <v>322</v>
      </c>
      <c r="B323" t="str">
        <f t="shared" si="5"/>
        <v>paraguay.com</v>
      </c>
    </row>
    <row r="324" spans="1:2" ht="30.75" thickBot="1">
      <c r="A324" s="1" t="s">
        <v>323</v>
      </c>
      <c r="B324" t="str">
        <f t="shared" si="5"/>
        <v>diarioeldia.cl</v>
      </c>
    </row>
    <row r="325" spans="1:2" ht="45.75" thickBot="1">
      <c r="A325" s="1" t="s">
        <v>324</v>
      </c>
      <c r="B325" t="str">
        <f t="shared" si="5"/>
        <v>wradio.com.co</v>
      </c>
    </row>
    <row r="326" spans="1:2" ht="45.75" thickBot="1">
      <c r="A326" s="1" t="s">
        <v>325</v>
      </c>
      <c r="B326" t="str">
        <f t="shared" si="5"/>
        <v>emol.com</v>
      </c>
    </row>
    <row r="327" spans="1:2" ht="45.75" thickBot="1">
      <c r="A327" s="1" t="s">
        <v>326</v>
      </c>
      <c r="B327" t="str">
        <f t="shared" si="5"/>
        <v>cooperativa.cl</v>
      </c>
    </row>
    <row r="328" spans="1:2" ht="30.75" thickBot="1">
      <c r="A328" s="1" t="s">
        <v>327</v>
      </c>
      <c r="B328" t="str">
        <f t="shared" si="5"/>
        <v>publimetro.cl</v>
      </c>
    </row>
    <row r="329" spans="1:2" ht="30.75" thickBot="1">
      <c r="A329" s="1" t="s">
        <v>328</v>
      </c>
      <c r="B329" t="str">
        <f t="shared" si="5"/>
        <v>tn.com.ar</v>
      </c>
    </row>
    <row r="330" spans="1:2" ht="45.75" thickBot="1">
      <c r="A330" s="1" t="s">
        <v>329</v>
      </c>
      <c r="B330" t="str">
        <f t="shared" si="5"/>
        <v>publimetro.cl</v>
      </c>
    </row>
    <row r="331" spans="1:2" ht="30.75" thickBot="1">
      <c r="A331" s="1" t="s">
        <v>330</v>
      </c>
      <c r="B331" t="str">
        <f t="shared" si="5"/>
        <v>lanacion.com.ar</v>
      </c>
    </row>
    <row r="332" spans="1:2" ht="45.75" thickBot="1">
      <c r="A332" s="1" t="s">
        <v>331</v>
      </c>
      <c r="B332" t="str">
        <f t="shared" si="5"/>
        <v>infobae.com</v>
      </c>
    </row>
    <row r="333" spans="1:2" ht="45.75" thickBot="1">
      <c r="A333" s="1" t="s">
        <v>332</v>
      </c>
      <c r="B333" t="str">
        <f t="shared" si="5"/>
        <v>cooperativa.cl</v>
      </c>
    </row>
    <row r="334" spans="1:2" ht="15.75" thickBot="1">
      <c r="A334" s="3" t="s">
        <v>333</v>
      </c>
      <c r="B334" t="str">
        <f t="shared" si="5"/>
        <v>biobiochile.cl</v>
      </c>
    </row>
    <row r="335" spans="1:2" ht="45.75" thickBot="1">
      <c r="A335" s="1" t="s">
        <v>334</v>
      </c>
      <c r="B335" t="str">
        <f t="shared" si="5"/>
        <v>soychile.cl</v>
      </c>
    </row>
    <row r="336" spans="1:2" ht="45.75" thickBot="1">
      <c r="A336" s="1" t="s">
        <v>335</v>
      </c>
      <c r="B336" t="str">
        <f t="shared" si="5"/>
        <v>biobiochile.cl</v>
      </c>
    </row>
    <row r="337" spans="1:2" ht="45.75" thickBot="1">
      <c r="A337" s="1" t="s">
        <v>336</v>
      </c>
      <c r="B337" t="str">
        <f t="shared" si="5"/>
        <v>chvnoticias.cl</v>
      </c>
    </row>
    <row r="338" spans="1:2" ht="30.75" thickBot="1">
      <c r="A338" s="1" t="s">
        <v>337</v>
      </c>
      <c r="B338" t="str">
        <f t="shared" si="5"/>
        <v>m.facebook.com</v>
      </c>
    </row>
    <row r="339" spans="1:2" ht="45.75" thickBot="1">
      <c r="A339" s="1" t="s">
        <v>338</v>
      </c>
      <c r="B339" t="str">
        <f t="shared" si="5"/>
        <v>biobiochile.cl</v>
      </c>
    </row>
    <row r="340" spans="1:2" ht="30.75" thickBot="1">
      <c r="A340" s="1" t="s">
        <v>339</v>
      </c>
      <c r="B340" t="str">
        <f t="shared" si="5"/>
        <v>chvnoticias.cl</v>
      </c>
    </row>
    <row r="341" spans="1:2" ht="45.75" thickBot="1">
      <c r="A341" s="1" t="s">
        <v>340</v>
      </c>
      <c r="B341" t="str">
        <f t="shared" si="5"/>
        <v>ahoranoticias.cl</v>
      </c>
    </row>
    <row r="342" spans="1:2" ht="45.75" thickBot="1">
      <c r="A342" s="1" t="s">
        <v>341</v>
      </c>
      <c r="B342" t="str">
        <f t="shared" si="5"/>
        <v>ahoranoticias.cl</v>
      </c>
    </row>
    <row r="343" spans="1:2" ht="45.75" thickBot="1">
      <c r="A343" s="1" t="s">
        <v>342</v>
      </c>
      <c r="B343" t="str">
        <f t="shared" si="5"/>
        <v>soychile.cl</v>
      </c>
    </row>
    <row r="344" spans="1:2" ht="45.75" thickBot="1">
      <c r="A344" s="1" t="s">
        <v>343</v>
      </c>
      <c r="B344" t="str">
        <f t="shared" si="5"/>
        <v>elurbanorural.cl</v>
      </c>
    </row>
    <row r="345" spans="1:2" ht="45.75" thickBot="1">
      <c r="A345" s="1" t="s">
        <v>344</v>
      </c>
      <c r="B345" t="str">
        <f t="shared" si="5"/>
        <v>ahoranoticias.cl</v>
      </c>
    </row>
    <row r="346" spans="1:2" ht="45.75" thickBot="1">
      <c r="A346" s="1" t="s">
        <v>345</v>
      </c>
      <c r="B346" t="str">
        <f t="shared" si="5"/>
        <v>emol.com</v>
      </c>
    </row>
    <row r="347" spans="1:2" ht="30.75" thickBot="1">
      <c r="A347" s="1" t="s">
        <v>346</v>
      </c>
      <c r="B347" t="str">
        <f t="shared" si="5"/>
        <v>t13.cl</v>
      </c>
    </row>
    <row r="348" spans="1:2" ht="30.75" thickBot="1">
      <c r="A348" s="1" t="s">
        <v>347</v>
      </c>
      <c r="B348" t="str">
        <f t="shared" si="5"/>
        <v>pressreader.com</v>
      </c>
    </row>
    <row r="349" spans="1:2" ht="45.75" thickBot="1">
      <c r="A349" s="1" t="s">
        <v>348</v>
      </c>
      <c r="B349" t="str">
        <f t="shared" si="5"/>
        <v>cooperativa.cl</v>
      </c>
    </row>
    <row r="350" spans="1:2" ht="45.75" thickBot="1">
      <c r="A350" s="1" t="s">
        <v>349</v>
      </c>
      <c r="B350" t="str">
        <f t="shared" si="5"/>
        <v>elrepuertero.cl</v>
      </c>
    </row>
    <row r="351" spans="1:2" ht="45.75" thickBot="1">
      <c r="A351" s="1" t="s">
        <v>350</v>
      </c>
      <c r="B351" t="str">
        <f t="shared" si="5"/>
        <v>emol.com</v>
      </c>
    </row>
    <row r="352" spans="1:2" ht="45.75" thickBot="1">
      <c r="A352" s="1" t="s">
        <v>351</v>
      </c>
      <c r="B352" t="str">
        <f t="shared" si="5"/>
        <v>laopinion.com.co</v>
      </c>
    </row>
    <row r="353" spans="1:2" ht="30.75" thickBot="1">
      <c r="A353" s="1" t="s">
        <v>352</v>
      </c>
      <c r="B353" t="str">
        <f t="shared" si="5"/>
        <v>elheraldo.co</v>
      </c>
    </row>
    <row r="354" spans="1:2" ht="60.75" thickBot="1">
      <c r="A354" s="1" t="s">
        <v>353</v>
      </c>
      <c r="B354" t="str">
        <f t="shared" si="5"/>
        <v>soychile.cl</v>
      </c>
    </row>
    <row r="355" spans="1:2" ht="45.75" thickBot="1">
      <c r="A355" s="1" t="s">
        <v>354</v>
      </c>
      <c r="B355" t="str">
        <f t="shared" si="5"/>
        <v>facebook.com</v>
      </c>
    </row>
    <row r="356" spans="1:2" ht="45.75" thickBot="1">
      <c r="A356" s="1" t="s">
        <v>355</v>
      </c>
      <c r="B356" t="str">
        <f t="shared" si="5"/>
        <v>minmujeryeg.cl</v>
      </c>
    </row>
    <row r="357" spans="1:2" ht="60.75" thickBot="1">
      <c r="A357" s="1" t="s">
        <v>356</v>
      </c>
      <c r="B357" t="str">
        <f t="shared" si="5"/>
        <v>soychile.cl</v>
      </c>
    </row>
    <row r="358" spans="1:2" ht="45.75" thickBot="1">
      <c r="A358" s="1" t="s">
        <v>357</v>
      </c>
      <c r="B358" t="str">
        <f t="shared" si="5"/>
        <v>cooperativa.cl</v>
      </c>
    </row>
    <row r="359" spans="1:2" ht="15.75" thickBot="1">
      <c r="A359" s="3" t="s">
        <v>358</v>
      </c>
      <c r="B359" t="str">
        <f t="shared" si="5"/>
        <v>emol.com</v>
      </c>
    </row>
    <row r="360" spans="1:2" ht="15.75" thickBot="1">
      <c r="A360" s="1" t="s">
        <v>359</v>
      </c>
      <c r="B360" t="str">
        <f t="shared" si="5"/>
        <v>latribuna.cl</v>
      </c>
    </row>
    <row r="361" spans="1:2" ht="45.75" thickBot="1">
      <c r="A361" s="1" t="s">
        <v>360</v>
      </c>
      <c r="B361" t="str">
        <f t="shared" si="5"/>
        <v>biobiochile.cl</v>
      </c>
    </row>
    <row r="362" spans="1:2" ht="30.75" thickBot="1">
      <c r="A362" s="1" t="s">
        <v>361</v>
      </c>
      <c r="B362" t="str">
        <f t="shared" si="5"/>
        <v>lacuarta.com</v>
      </c>
    </row>
    <row r="363" spans="1:2" ht="30.75" thickBot="1">
      <c r="A363" s="1" t="s">
        <v>362</v>
      </c>
      <c r="B363" t="str">
        <f t="shared" si="5"/>
        <v>chvnoticias.cl</v>
      </c>
    </row>
    <row r="364" spans="1:2" ht="30.75" thickBot="1">
      <c r="A364" s="1" t="s">
        <v>363</v>
      </c>
      <c r="B364" t="str">
        <f t="shared" si="5"/>
        <v>resumen.cl</v>
      </c>
    </row>
    <row r="365" spans="1:2" ht="45.75" thickBot="1">
      <c r="A365" s="5" t="s">
        <v>364</v>
      </c>
      <c r="B365" t="str">
        <f t="shared" si="5"/>
        <v>ladiscusion.cl</v>
      </c>
    </row>
    <row r="366" spans="1:2" ht="15.75" thickBot="1">
      <c r="A366" s="3" t="s">
        <v>365</v>
      </c>
      <c r="B366" t="str">
        <f t="shared" si="5"/>
        <v>biobiochile.cl</v>
      </c>
    </row>
    <row r="367" spans="1:2" ht="45.75" thickBot="1">
      <c r="A367" s="1" t="s">
        <v>366</v>
      </c>
      <c r="B367" t="str">
        <f t="shared" si="5"/>
        <v>24horas.cl</v>
      </c>
    </row>
    <row r="368" spans="1:2" ht="30.75" thickBot="1">
      <c r="A368" s="1" t="s">
        <v>367</v>
      </c>
      <c r="B368" t="str">
        <f t="shared" si="5"/>
        <v>chvnoticias.cl</v>
      </c>
    </row>
    <row r="369" spans="1:2" ht="15.75" thickBot="1">
      <c r="A369" s="3" t="s">
        <v>368</v>
      </c>
      <c r="B369" t="str">
        <f t="shared" si="5"/>
        <v>biobiochile.cl</v>
      </c>
    </row>
    <row r="370" spans="1:2" ht="15.75" thickBot="1">
      <c r="A370" s="3" t="s">
        <v>369</v>
      </c>
      <c r="B370" t="str">
        <f t="shared" si="5"/>
        <v>emol.com</v>
      </c>
    </row>
    <row r="371" spans="1:2" ht="45.75" thickBot="1">
      <c r="A371" s="1" t="s">
        <v>370</v>
      </c>
      <c r="B371" t="str">
        <f t="shared" si="5"/>
        <v>eldesconcierto.cl</v>
      </c>
    </row>
    <row r="372" spans="1:2" ht="45.75" thickBot="1">
      <c r="A372" s="1" t="s">
        <v>371</v>
      </c>
      <c r="B372" t="str">
        <f t="shared" si="5"/>
        <v>biobiochile.cl</v>
      </c>
    </row>
    <row r="373" spans="1:2" ht="30.75" thickBot="1">
      <c r="A373" s="1" t="s">
        <v>372</v>
      </c>
      <c r="B373" t="str">
        <f t="shared" si="5"/>
        <v>t13.cl</v>
      </c>
    </row>
    <row r="374" spans="1:2" ht="45.75" thickBot="1">
      <c r="A374" s="1" t="s">
        <v>373</v>
      </c>
      <c r="B374" t="str">
        <f t="shared" si="5"/>
        <v>emol.com</v>
      </c>
    </row>
    <row r="375" spans="1:2" ht="45.75" thickBot="1">
      <c r="A375" s="1" t="s">
        <v>374</v>
      </c>
      <c r="B375" t="str">
        <f t="shared" si="5"/>
        <v>eldesconcierto.cl</v>
      </c>
    </row>
    <row r="376" spans="1:2" ht="30.75" thickBot="1">
      <c r="A376" s="1" t="s">
        <v>375</v>
      </c>
      <c r="B376" t="str">
        <f t="shared" si="5"/>
        <v>elciudadano.cl</v>
      </c>
    </row>
    <row r="377" spans="1:2" ht="15.75" thickBot="1">
      <c r="A377" s="3" t="s">
        <v>376</v>
      </c>
      <c r="B377" t="str">
        <f t="shared" si="5"/>
        <v>biobiochile.cl</v>
      </c>
    </row>
    <row r="378" spans="1:2" ht="30.75" thickBot="1">
      <c r="A378" s="1" t="s">
        <v>377</v>
      </c>
      <c r="B378" t="str">
        <f t="shared" si="5"/>
        <v>chvnoticias.cl</v>
      </c>
    </row>
    <row r="379" spans="1:2" ht="30.75" thickBot="1">
      <c r="A379" s="1" t="s">
        <v>378</v>
      </c>
      <c r="B379" t="str">
        <f t="shared" si="5"/>
        <v>24horas.cl</v>
      </c>
    </row>
    <row r="380" spans="1:2" ht="45.75" thickBot="1">
      <c r="A380" s="1" t="s">
        <v>379</v>
      </c>
      <c r="B380" t="str">
        <f t="shared" si="5"/>
        <v>cooperativa.cl</v>
      </c>
    </row>
    <row r="381" spans="1:2" ht="45.75" thickBot="1">
      <c r="A381" s="1" t="s">
        <v>380</v>
      </c>
      <c r="B381" t="str">
        <f t="shared" si="5"/>
        <v>elespectador.com</v>
      </c>
    </row>
    <row r="382" spans="1:2" ht="30.75" thickBot="1">
      <c r="A382" s="1" t="s">
        <v>381</v>
      </c>
      <c r="B382" t="str">
        <f t="shared" si="5"/>
        <v>elciudadano.cl</v>
      </c>
    </row>
    <row r="383" spans="1:2" ht="45.75" thickBot="1">
      <c r="A383" s="1" t="s">
        <v>382</v>
      </c>
      <c r="B383" t="str">
        <f t="shared" si="5"/>
        <v>eldesconcierto.cl</v>
      </c>
    </row>
    <row r="384" spans="1:2" ht="15.75" thickBot="1">
      <c r="A384" s="3" t="s">
        <v>383</v>
      </c>
      <c r="B384" t="str">
        <f t="shared" si="5"/>
        <v>soychile.cl</v>
      </c>
    </row>
    <row r="385" spans="1:2" ht="45.75" thickBot="1">
      <c r="A385" s="1" t="s">
        <v>384</v>
      </c>
      <c r="B385" t="str">
        <f>SUBSTITUTE(IF(SUBSTITUTE(SUBSTITUTE(IF(RIGHT(MyExtract(A385,3,"F","/"),1)="/",LEFT(MyExtract(A385,3,"F","/"),LEN(MyExtract(A385,3,"F","/"))-1),MyExtract(A385,3,"F","/")),"http://","",1),"www.","",1)="*",A385,SUBSTITUTE(SUBSTITUTE(IF(RIGHT(MyExtract(A385,3,"F","/"),1)="/",LEFT(MyExtract(A385,3,"F","/"),LEN(MyExtract(A385,3,"F","/"))-1),MyExtract(A385,3,"F","/")),"http://","",1),"www.","")),"www.","")</f>
        <v>soychile.cl</v>
      </c>
    </row>
    <row r="386" spans="1:2" ht="30.75" thickBot="1">
      <c r="A386" s="1" t="s">
        <v>385</v>
      </c>
      <c r="B386" t="str">
        <f>SUBSTITUTE(IF(SUBSTITUTE(SUBSTITUTE(IF(RIGHT(MyExtract(A386,3,"F","/"),1)="/",LEFT(MyExtract(A386,3,"F","/"),LEN(MyExtract(A386,3,"F","/"))-1),MyExtract(A386,3,"F","/")),"http://","",1),"www.","",1)="*",A386,SUBSTITUTE(SUBSTITUTE(IF(RIGHT(MyExtract(A386,3,"F","/"),1)="/",LEFT(MyExtract(A386,3,"F","/"),LEN(MyExtract(A386,3,"F","/"))-1),MyExtract(A386,3,"F","/")),"http://","",1),"www.","")),"www.","")</f>
        <v>prodemu.cl</v>
      </c>
    </row>
    <row r="387" spans="1:2" ht="15.75" thickBot="1">
      <c r="A387" s="1" t="s">
        <v>386</v>
      </c>
      <c r="B387" t="str">
        <f>SUBSTITUTE(IF(SUBSTITUTE(SUBSTITUTE(IF(RIGHT(MyExtract(A387,3,"F","/"),1)="/",LEFT(MyExtract(A387,3,"F","/"),LEN(MyExtract(A387,3,"F","/"))-1),MyExtract(A387,3,"F","/")),"http://","",1),"www.","",1)="*",A387,SUBSTITUTE(SUBSTITUTE(IF(RIGHT(MyExtract(A387,3,"F","/"),1)="/",LEFT(MyExtract(A387,3,"F","/"),LEN(MyExtract(A387,3,"F","/"))-1),MyExtract(A387,3,"F","/")),"http://","",1),"www.","")),"www.","")</f>
        <v>diarioelnortino.cl</v>
      </c>
    </row>
    <row r="388" spans="1:2" ht="30.75" thickBot="1">
      <c r="A388" s="1" t="s">
        <v>387</v>
      </c>
      <c r="B388" t="str">
        <f>SUBSTITUTE(IF(SUBSTITUTE(SUBSTITUTE(IF(RIGHT(MyExtract(A388,3,"F","/"),1)="/",LEFT(MyExtract(A388,3,"F","/"),LEN(MyExtract(A388,3,"F","/"))-1),MyExtract(A388,3,"F","/")),"http://","",1),"www.","",1)="*",A388,SUBSTITUTE(SUBSTITUTE(IF(RIGHT(MyExtract(A388,3,"F","/"),1)="/",LEFT(MyExtract(A388,3,"F","/"),LEN(MyExtract(A388,3,"F","/"))-1),MyExtract(A388,3,"F","/")),"http://","",1),"www.","")),"www.","")</f>
        <v>losandes.com.ar</v>
      </c>
    </row>
    <row r="389" spans="1:2" ht="45.75" thickBot="1">
      <c r="A389" s="1" t="s">
        <v>388</v>
      </c>
      <c r="B389" t="str">
        <f>SUBSTITUTE(IF(SUBSTITUTE(SUBSTITUTE(IF(RIGHT(MyExtract(A389,3,"F","/"),1)="/",LEFT(MyExtract(A389,3,"F","/"),LEN(MyExtract(A389,3,"F","/"))-1),MyExtract(A389,3,"F","/")),"http://","",1),"www.","",1)="*",A389,SUBSTITUTE(SUBSTITUTE(IF(RIGHT(MyExtract(A389,3,"F","/"),1)="/",LEFT(MyExtract(A389,3,"F","/"),LEN(MyExtract(A389,3,"F","/"))-1),MyExtract(A389,3,"F","/")),"http://","",1),"www.","")),"www.","")</f>
        <v>biobiochile.cl</v>
      </c>
    </row>
    <row r="390" spans="1:2" ht="15.75" thickBot="1">
      <c r="A390" s="6"/>
    </row>
    <row r="391" spans="1:2" ht="15.75" thickBot="1">
      <c r="A391" s="6"/>
    </row>
    <row r="392" spans="1:2" ht="15.75" thickBot="1">
      <c r="A392" s="6"/>
    </row>
    <row r="393" spans="1:2" ht="15.75" thickBot="1">
      <c r="A393" s="6"/>
    </row>
    <row r="394" spans="1:2" ht="15.75" thickBot="1">
      <c r="A394" s="6"/>
    </row>
    <row r="395" spans="1:2" ht="15.75" thickBot="1">
      <c r="A395" s="6"/>
    </row>
    <row r="396" spans="1:2" ht="15.75" thickBot="1">
      <c r="A396" s="6"/>
    </row>
    <row r="397" spans="1:2" ht="15.75" thickBot="1">
      <c r="A397" s="6"/>
    </row>
    <row r="398" spans="1:2" ht="15.75" thickBot="1">
      <c r="A398" s="6"/>
    </row>
    <row r="399" spans="1:2" ht="15.75" thickBot="1">
      <c r="A399" s="6"/>
    </row>
    <row r="400" spans="1:2" ht="15.75" thickBot="1">
      <c r="A400" s="6"/>
    </row>
    <row r="401" spans="1:1" ht="15.75" thickBot="1">
      <c r="A401" s="6"/>
    </row>
    <row r="402" spans="1:1" ht="15.75" thickBot="1">
      <c r="A402" s="6"/>
    </row>
    <row r="403" spans="1:1" ht="15.75" thickBot="1">
      <c r="A403" s="6"/>
    </row>
    <row r="404" spans="1:1" ht="15.75" thickBot="1">
      <c r="A404" s="6"/>
    </row>
    <row r="405" spans="1:1" ht="15.75" thickBot="1">
      <c r="A405" s="6"/>
    </row>
    <row r="406" spans="1:1" ht="15.75" thickBot="1">
      <c r="A406" s="6"/>
    </row>
    <row r="407" spans="1:1" ht="15.75" thickBot="1">
      <c r="A407" s="6"/>
    </row>
    <row r="408" spans="1:1" ht="15.75" thickBot="1">
      <c r="A408" s="6"/>
    </row>
    <row r="409" spans="1:1" ht="15.75" thickBot="1">
      <c r="A409" s="6"/>
    </row>
    <row r="410" spans="1:1" ht="15.75" thickBot="1">
      <c r="A410" s="6"/>
    </row>
    <row r="411" spans="1:1" ht="15.75" thickBot="1">
      <c r="A411" s="6"/>
    </row>
    <row r="412" spans="1:1" ht="15.75" thickBot="1">
      <c r="A412" s="6"/>
    </row>
    <row r="413" spans="1:1" ht="15.75" thickBot="1">
      <c r="A413" s="6"/>
    </row>
    <row r="414" spans="1:1" ht="15.75" thickBot="1">
      <c r="A414" s="6"/>
    </row>
    <row r="415" spans="1:1" ht="15.75" thickBot="1">
      <c r="A415" s="6"/>
    </row>
    <row r="416" spans="1:1" ht="15.75" thickBot="1">
      <c r="A416" s="6"/>
    </row>
    <row r="417" spans="1:1" ht="15.75" thickBot="1">
      <c r="A417" s="6"/>
    </row>
    <row r="418" spans="1:1" ht="15.75" thickBot="1">
      <c r="A418" s="6"/>
    </row>
    <row r="419" spans="1:1" ht="15.75" thickBot="1">
      <c r="A419" s="6"/>
    </row>
    <row r="420" spans="1:1" ht="15.75" thickBot="1">
      <c r="A420" s="6"/>
    </row>
    <row r="421" spans="1:1" ht="15.75" thickBot="1">
      <c r="A421" s="6"/>
    </row>
    <row r="422" spans="1:1" ht="15.75" thickBot="1">
      <c r="A422" s="6"/>
    </row>
    <row r="423" spans="1:1" ht="15.75" thickBot="1">
      <c r="A423" s="6"/>
    </row>
    <row r="424" spans="1:1" ht="15.75" thickBot="1">
      <c r="A424" s="6"/>
    </row>
    <row r="425" spans="1:1" ht="15.75" thickBot="1">
      <c r="A425" s="6"/>
    </row>
    <row r="426" spans="1:1" ht="15.75" thickBot="1">
      <c r="A426" s="6"/>
    </row>
    <row r="427" spans="1:1" ht="15.75" thickBot="1">
      <c r="A427" s="6"/>
    </row>
    <row r="428" spans="1:1" ht="15.75" thickBot="1">
      <c r="A428" s="6"/>
    </row>
    <row r="429" spans="1:1" ht="15.75" thickBot="1">
      <c r="A429" s="6"/>
    </row>
    <row r="430" spans="1:1" ht="15.75" thickBot="1">
      <c r="A430" s="6"/>
    </row>
    <row r="431" spans="1:1" ht="15.75" thickBot="1">
      <c r="A431" s="6"/>
    </row>
    <row r="432" spans="1:1" ht="15.75" thickBot="1">
      <c r="A432" s="6"/>
    </row>
    <row r="433" spans="1:1" ht="15.75" thickBot="1">
      <c r="A433" s="6"/>
    </row>
    <row r="434" spans="1:1" ht="15.75" thickBot="1">
      <c r="A434" s="6"/>
    </row>
    <row r="435" spans="1:1" ht="15.75" thickBot="1">
      <c r="A435" s="6"/>
    </row>
    <row r="436" spans="1:1" ht="15.75" thickBot="1">
      <c r="A436" s="6"/>
    </row>
    <row r="437" spans="1:1" ht="15.75" thickBot="1">
      <c r="A437" s="6"/>
    </row>
    <row r="438" spans="1:1" ht="15.75" thickBot="1">
      <c r="A438" s="6"/>
    </row>
    <row r="439" spans="1:1" ht="15.75" thickBot="1">
      <c r="A439" s="6"/>
    </row>
    <row r="440" spans="1:1" ht="15.75" thickBot="1">
      <c r="A440" s="6"/>
    </row>
    <row r="441" spans="1:1" ht="15.75" thickBot="1">
      <c r="A441" s="6"/>
    </row>
    <row r="442" spans="1:1" ht="15.75" thickBot="1">
      <c r="A442" s="6"/>
    </row>
    <row r="443" spans="1:1" ht="15.75" thickBot="1">
      <c r="A443" s="6"/>
    </row>
    <row r="444" spans="1:1" ht="15.75" thickBot="1">
      <c r="A444" s="6"/>
    </row>
    <row r="445" spans="1:1" ht="15.75" thickBot="1">
      <c r="A445" s="6"/>
    </row>
    <row r="446" spans="1:1" ht="15.75" thickBot="1">
      <c r="A446" s="6"/>
    </row>
    <row r="447" spans="1:1" ht="15.75" thickBot="1">
      <c r="A447" s="6"/>
    </row>
    <row r="448" spans="1:1" ht="15.75" thickBot="1">
      <c r="A448" s="6"/>
    </row>
    <row r="449" spans="1:1" ht="15.75" thickBot="1">
      <c r="A449" s="6"/>
    </row>
    <row r="450" spans="1:1" ht="15.75" thickBot="1">
      <c r="A450" s="6"/>
    </row>
    <row r="451" spans="1:1" ht="15.75" thickBot="1">
      <c r="A451" s="6"/>
    </row>
    <row r="452" spans="1:1" ht="15.75" thickBot="1">
      <c r="A452" s="6"/>
    </row>
    <row r="453" spans="1:1" ht="15.75" thickBot="1">
      <c r="A453" s="6"/>
    </row>
    <row r="454" spans="1:1" ht="15.75" thickBot="1">
      <c r="A454" s="6"/>
    </row>
    <row r="455" spans="1:1" ht="15.75" thickBot="1">
      <c r="A455" s="6"/>
    </row>
    <row r="456" spans="1:1" ht="15.75" thickBot="1">
      <c r="A456" s="6"/>
    </row>
    <row r="457" spans="1:1" ht="15.75" thickBot="1">
      <c r="A457" s="6"/>
    </row>
    <row r="458" spans="1:1" ht="15.75" thickBot="1">
      <c r="A458" s="6"/>
    </row>
    <row r="459" spans="1:1" ht="15.75" thickBot="1">
      <c r="A459" s="6"/>
    </row>
    <row r="460" spans="1:1" ht="15.75" thickBot="1">
      <c r="A460" s="6"/>
    </row>
    <row r="461" spans="1:1" ht="15.75" thickBot="1">
      <c r="A461" s="6"/>
    </row>
    <row r="462" spans="1:1" ht="15.75" thickBot="1">
      <c r="A462" s="6"/>
    </row>
    <row r="463" spans="1:1" ht="15.75" thickBot="1">
      <c r="A463" s="6"/>
    </row>
    <row r="464" spans="1:1" ht="15.75" thickBot="1">
      <c r="A464" s="6"/>
    </row>
    <row r="465" spans="1:1" ht="15.75" thickBot="1">
      <c r="A465" s="6"/>
    </row>
    <row r="466" spans="1:1" ht="15.75" thickBot="1">
      <c r="A466" s="6"/>
    </row>
    <row r="467" spans="1:1" ht="15.75" thickBot="1">
      <c r="A467" s="6"/>
    </row>
    <row r="468" spans="1:1" ht="15.75" thickBot="1">
      <c r="A468" s="6"/>
    </row>
    <row r="469" spans="1:1" ht="15.75" thickBot="1">
      <c r="A469" s="6"/>
    </row>
    <row r="470" spans="1:1" ht="15.75" thickBot="1">
      <c r="A470" s="6"/>
    </row>
    <row r="471" spans="1:1" ht="15.75" thickBot="1">
      <c r="A471" s="6"/>
    </row>
    <row r="472" spans="1:1" ht="15.75" thickBot="1">
      <c r="A472" s="6"/>
    </row>
    <row r="473" spans="1:1" ht="15.75" thickBot="1">
      <c r="A473" s="6"/>
    </row>
    <row r="474" spans="1:1" ht="15.75" thickBot="1">
      <c r="A474" s="6"/>
    </row>
    <row r="475" spans="1:1" ht="15.75" thickBot="1">
      <c r="A475" s="6"/>
    </row>
    <row r="476" spans="1:1" ht="15.75" thickBot="1">
      <c r="A476" s="6"/>
    </row>
    <row r="477" spans="1:1" ht="15.75" thickBot="1">
      <c r="A477" s="6"/>
    </row>
    <row r="478" spans="1:1" ht="15.75" thickBot="1">
      <c r="A478" s="6"/>
    </row>
    <row r="479" spans="1:1" ht="15.75" thickBot="1">
      <c r="A479" s="6"/>
    </row>
    <row r="480" spans="1:1" ht="15.75" thickBot="1">
      <c r="A480" s="6"/>
    </row>
    <row r="481" spans="1:1" ht="15.75" thickBot="1">
      <c r="A481" s="6"/>
    </row>
    <row r="482" spans="1:1" ht="15.75" thickBot="1">
      <c r="A482" s="6"/>
    </row>
    <row r="483" spans="1:1" ht="15.75" thickBot="1">
      <c r="A483" s="6"/>
    </row>
    <row r="484" spans="1:1" ht="15.75" thickBot="1">
      <c r="A484" s="6"/>
    </row>
    <row r="485" spans="1:1" ht="15.75" thickBot="1">
      <c r="A485" s="6"/>
    </row>
    <row r="486" spans="1:1" ht="15.75" thickBot="1">
      <c r="A486" s="6"/>
    </row>
    <row r="487" spans="1:1" ht="15.75" thickBot="1">
      <c r="A487" s="6"/>
    </row>
    <row r="488" spans="1:1" ht="15.75" thickBot="1">
      <c r="A488" s="6"/>
    </row>
    <row r="489" spans="1:1" ht="15.75" thickBot="1">
      <c r="A489" s="6"/>
    </row>
    <row r="490" spans="1:1" ht="15.75" thickBot="1">
      <c r="A490" s="6"/>
    </row>
    <row r="491" spans="1:1" ht="15.75" thickBot="1">
      <c r="A491" s="6"/>
    </row>
    <row r="492" spans="1:1" ht="15.75" thickBot="1">
      <c r="A492" s="6"/>
    </row>
    <row r="493" spans="1:1" ht="15.75" thickBot="1">
      <c r="A493" s="6"/>
    </row>
    <row r="494" spans="1:1" ht="15.75" thickBot="1">
      <c r="A494" s="6"/>
    </row>
    <row r="495" spans="1:1" ht="15.75" thickBot="1">
      <c r="A495" s="6"/>
    </row>
    <row r="496" spans="1:1" ht="15.75" thickBot="1">
      <c r="A496" s="6"/>
    </row>
    <row r="497" spans="1:1" ht="15.75" thickBot="1">
      <c r="A497" s="6"/>
    </row>
    <row r="498" spans="1:1" ht="15.75" thickBot="1">
      <c r="A498" s="6"/>
    </row>
    <row r="499" spans="1:1" ht="15.75" thickBot="1">
      <c r="A499" s="6"/>
    </row>
    <row r="500" spans="1:1" ht="15.75" thickBot="1">
      <c r="A500" s="6"/>
    </row>
    <row r="501" spans="1:1" ht="15.75" thickBot="1">
      <c r="A501" s="6"/>
    </row>
    <row r="502" spans="1:1" ht="15.75" thickBot="1">
      <c r="A502" s="6"/>
    </row>
    <row r="503" spans="1:1" ht="15.75" thickBot="1">
      <c r="A503" s="6"/>
    </row>
    <row r="504" spans="1:1" ht="15.75" thickBot="1">
      <c r="A504" s="6"/>
    </row>
    <row r="505" spans="1:1" ht="15.75" thickBot="1">
      <c r="A505" s="6"/>
    </row>
    <row r="506" spans="1:1" ht="15.75" thickBot="1">
      <c r="A506" s="6"/>
    </row>
    <row r="507" spans="1:1" ht="15.75" thickBot="1">
      <c r="A507" s="6"/>
    </row>
    <row r="508" spans="1:1" ht="15.75" thickBot="1">
      <c r="A508" s="6"/>
    </row>
    <row r="509" spans="1:1" ht="15.75" thickBot="1">
      <c r="A509" s="6"/>
    </row>
    <row r="510" spans="1:1" ht="15.75" thickBot="1">
      <c r="A510" s="6"/>
    </row>
    <row r="511" spans="1:1" ht="15.75" thickBot="1">
      <c r="A511" s="6"/>
    </row>
    <row r="512" spans="1:1" ht="15.75" thickBot="1">
      <c r="A512" s="6"/>
    </row>
    <row r="513" spans="1:1" ht="15.75" thickBot="1">
      <c r="A513" s="6"/>
    </row>
    <row r="514" spans="1:1" ht="15.75" thickBot="1">
      <c r="A514" s="6"/>
    </row>
    <row r="515" spans="1:1" ht="15.75" thickBot="1">
      <c r="A515" s="6"/>
    </row>
    <row r="516" spans="1:1" ht="15.75" thickBot="1">
      <c r="A516" s="6"/>
    </row>
    <row r="517" spans="1:1" ht="15.75" thickBot="1">
      <c r="A517" s="6"/>
    </row>
    <row r="518" spans="1:1" ht="15.75" thickBot="1">
      <c r="A518" s="6"/>
    </row>
    <row r="519" spans="1:1" ht="15.75" thickBot="1">
      <c r="A519" s="6"/>
    </row>
    <row r="520" spans="1:1" ht="15.75" thickBot="1">
      <c r="A520" s="6"/>
    </row>
    <row r="521" spans="1:1" ht="15.75" thickBot="1">
      <c r="A521" s="6"/>
    </row>
    <row r="522" spans="1:1" ht="15.75" thickBot="1">
      <c r="A522" s="6"/>
    </row>
    <row r="523" spans="1:1" ht="15.75" thickBot="1">
      <c r="A523" s="6"/>
    </row>
    <row r="524" spans="1:1" ht="15.75" thickBot="1">
      <c r="A524" s="6"/>
    </row>
    <row r="525" spans="1:1" ht="15.75" thickBot="1">
      <c r="A525" s="6"/>
    </row>
    <row r="526" spans="1:1" ht="15.75" thickBot="1">
      <c r="A526" s="6"/>
    </row>
    <row r="527" spans="1:1" ht="15.75" thickBot="1">
      <c r="A527" s="6"/>
    </row>
    <row r="528" spans="1:1" ht="15.75" thickBot="1">
      <c r="A528" s="6"/>
    </row>
    <row r="529" spans="1:1" ht="15.75" thickBot="1">
      <c r="A529" s="6"/>
    </row>
    <row r="530" spans="1:1" ht="15.75" thickBot="1">
      <c r="A530" s="6"/>
    </row>
    <row r="531" spans="1:1" ht="15.75" thickBot="1">
      <c r="A531" s="6"/>
    </row>
    <row r="532" spans="1:1" ht="15.75" thickBot="1">
      <c r="A532" s="6"/>
    </row>
    <row r="533" spans="1:1" ht="15.75" thickBot="1">
      <c r="A533" s="6"/>
    </row>
    <row r="534" spans="1:1" ht="15.75" thickBot="1">
      <c r="A534" s="6"/>
    </row>
    <row r="535" spans="1:1" ht="15.75" thickBot="1">
      <c r="A535" s="6"/>
    </row>
    <row r="536" spans="1:1" ht="15.75" thickBot="1">
      <c r="A536" s="6"/>
    </row>
    <row r="537" spans="1:1" ht="15.75" thickBot="1">
      <c r="A537" s="6"/>
    </row>
    <row r="538" spans="1:1" ht="15.75" thickBot="1">
      <c r="A538" s="6"/>
    </row>
    <row r="539" spans="1:1" ht="15.75" thickBot="1">
      <c r="A539" s="6"/>
    </row>
    <row r="540" spans="1:1" ht="15.75" thickBot="1">
      <c r="A540" s="6"/>
    </row>
    <row r="541" spans="1:1" ht="15.75" thickBot="1">
      <c r="A541" s="6"/>
    </row>
    <row r="542" spans="1:1" ht="15.75" thickBot="1">
      <c r="A542" s="6"/>
    </row>
    <row r="543" spans="1:1" ht="15.75" thickBot="1">
      <c r="A543" s="6"/>
    </row>
    <row r="544" spans="1:1" ht="15.75" thickBot="1">
      <c r="A544" s="6"/>
    </row>
    <row r="545" spans="1:1" ht="15.75" thickBot="1">
      <c r="A545" s="6"/>
    </row>
    <row r="546" spans="1:1" ht="15.75" thickBot="1">
      <c r="A546" s="6"/>
    </row>
    <row r="547" spans="1:1" ht="15.75" thickBot="1">
      <c r="A547" s="6"/>
    </row>
    <row r="548" spans="1:1" ht="15.75" thickBot="1">
      <c r="A548" s="6"/>
    </row>
    <row r="549" spans="1:1" ht="15.75" thickBot="1">
      <c r="A549" s="6"/>
    </row>
    <row r="550" spans="1:1" ht="15.75" thickBot="1">
      <c r="A550" s="6"/>
    </row>
    <row r="551" spans="1:1" ht="15.75" thickBot="1">
      <c r="A551" s="6"/>
    </row>
    <row r="552" spans="1:1" ht="15.75" thickBot="1">
      <c r="A552" s="6"/>
    </row>
    <row r="553" spans="1:1" ht="15.75" thickBot="1">
      <c r="A553" s="6"/>
    </row>
    <row r="554" spans="1:1" ht="15.75" thickBot="1">
      <c r="A554" s="6"/>
    </row>
    <row r="555" spans="1:1" ht="15.75" thickBot="1">
      <c r="A555" s="6"/>
    </row>
    <row r="556" spans="1:1" ht="15.75" thickBot="1">
      <c r="A556" s="6"/>
    </row>
    <row r="557" spans="1:1" ht="15.75" thickBot="1">
      <c r="A557" s="6"/>
    </row>
    <row r="558" spans="1:1" ht="15.75" thickBot="1">
      <c r="A558" s="6"/>
    </row>
    <row r="559" spans="1:1" ht="15.75" thickBot="1">
      <c r="A559" s="6"/>
    </row>
    <row r="560" spans="1:1" ht="15.75" thickBot="1">
      <c r="A560" s="6"/>
    </row>
    <row r="561" spans="1:1" ht="15.75" thickBot="1">
      <c r="A561" s="6"/>
    </row>
    <row r="562" spans="1:1" ht="15.75" thickBot="1">
      <c r="A562" s="6"/>
    </row>
    <row r="563" spans="1:1" ht="15.75" thickBot="1">
      <c r="A563" s="6"/>
    </row>
    <row r="564" spans="1:1" ht="15.75" thickBot="1">
      <c r="A564" s="6"/>
    </row>
    <row r="565" spans="1:1" ht="15.75" thickBot="1">
      <c r="A565" s="6"/>
    </row>
    <row r="566" spans="1:1" ht="15.75" thickBot="1">
      <c r="A566" s="6"/>
    </row>
    <row r="567" spans="1:1" ht="15.75" thickBot="1">
      <c r="A567" s="6"/>
    </row>
    <row r="568" spans="1:1" ht="15.75" thickBot="1">
      <c r="A568" s="6"/>
    </row>
    <row r="569" spans="1:1" ht="15.75" thickBot="1">
      <c r="A569" s="6"/>
    </row>
    <row r="570" spans="1:1" ht="15.75" thickBot="1">
      <c r="A570" s="6"/>
    </row>
    <row r="571" spans="1:1" ht="15.75" thickBot="1">
      <c r="A571" s="6"/>
    </row>
    <row r="572" spans="1:1" ht="15.75" thickBot="1">
      <c r="A572" s="6"/>
    </row>
    <row r="573" spans="1:1" ht="15.75" thickBot="1">
      <c r="A573" s="6"/>
    </row>
    <row r="574" spans="1:1" ht="15.75" thickBot="1">
      <c r="A574" s="6"/>
    </row>
    <row r="575" spans="1:1" ht="15.75" thickBot="1">
      <c r="A575" s="6"/>
    </row>
    <row r="576" spans="1:1" ht="15.75" thickBot="1">
      <c r="A576" s="6"/>
    </row>
    <row r="577" spans="1:1" ht="15.75" thickBot="1">
      <c r="A577" s="6"/>
    </row>
    <row r="578" spans="1:1" ht="15.75" thickBot="1">
      <c r="A578" s="6"/>
    </row>
    <row r="579" spans="1:1" ht="15.75" thickBot="1">
      <c r="A579" s="6"/>
    </row>
    <row r="580" spans="1:1" ht="15.75" thickBot="1">
      <c r="A580" s="6"/>
    </row>
    <row r="581" spans="1:1" ht="15.75" thickBot="1">
      <c r="A581" s="6"/>
    </row>
    <row r="582" spans="1:1" ht="15.75" thickBot="1">
      <c r="A582" s="6"/>
    </row>
    <row r="583" spans="1:1" ht="15.75" thickBot="1">
      <c r="A583" s="6"/>
    </row>
    <row r="584" spans="1:1" ht="15.75" thickBot="1">
      <c r="A584" s="6"/>
    </row>
    <row r="585" spans="1:1" ht="15.75" thickBot="1">
      <c r="A585" s="6"/>
    </row>
    <row r="586" spans="1:1" ht="15.75" thickBot="1">
      <c r="A586" s="6"/>
    </row>
    <row r="587" spans="1:1" ht="15.75" thickBot="1">
      <c r="A587" s="6"/>
    </row>
    <row r="588" spans="1:1" ht="15.75" thickBot="1">
      <c r="A588" s="6"/>
    </row>
    <row r="589" spans="1:1" ht="15.75" thickBot="1">
      <c r="A589" s="6"/>
    </row>
    <row r="590" spans="1:1" ht="15.75" thickBot="1">
      <c r="A590" s="6"/>
    </row>
    <row r="591" spans="1:1" ht="15.75" thickBot="1">
      <c r="A591" s="6"/>
    </row>
    <row r="592" spans="1:1" ht="15.75" thickBot="1">
      <c r="A592" s="6"/>
    </row>
    <row r="593" spans="1:1" ht="15.75" thickBot="1">
      <c r="A593" s="6"/>
    </row>
    <row r="594" spans="1:1" ht="15.75" thickBot="1">
      <c r="A594" s="6"/>
    </row>
    <row r="595" spans="1:1" ht="15.75" thickBot="1">
      <c r="A595" s="6"/>
    </row>
    <row r="596" spans="1:1" ht="15.75" thickBot="1">
      <c r="A596" s="6"/>
    </row>
    <row r="597" spans="1:1" ht="15.75" thickBot="1">
      <c r="A597" s="6"/>
    </row>
    <row r="598" spans="1:1" ht="15.75" thickBot="1">
      <c r="A598" s="6"/>
    </row>
    <row r="599" spans="1:1" ht="15.75" thickBot="1">
      <c r="A599" s="6"/>
    </row>
    <row r="600" spans="1:1" ht="15.75" thickBot="1">
      <c r="A600" s="6"/>
    </row>
    <row r="601" spans="1:1" ht="15.75" thickBot="1">
      <c r="A601" s="6"/>
    </row>
    <row r="602" spans="1:1" ht="15.75" thickBot="1">
      <c r="A602" s="6"/>
    </row>
    <row r="603" spans="1:1" ht="15.75" thickBot="1">
      <c r="A603" s="6"/>
    </row>
    <row r="604" spans="1:1" ht="15.75" thickBot="1">
      <c r="A604" s="6"/>
    </row>
    <row r="605" spans="1:1" ht="15.75" thickBot="1">
      <c r="A605" s="6"/>
    </row>
    <row r="606" spans="1:1" ht="15.75" thickBot="1">
      <c r="A606" s="6"/>
    </row>
    <row r="607" spans="1:1" ht="15.75" thickBot="1">
      <c r="A607" s="6"/>
    </row>
    <row r="608" spans="1:1" ht="15.75" thickBot="1">
      <c r="A608" s="6"/>
    </row>
    <row r="609" spans="1:1" ht="15.75" thickBot="1">
      <c r="A609" s="6"/>
    </row>
    <row r="610" spans="1:1" ht="15.75" thickBot="1">
      <c r="A610" s="6"/>
    </row>
    <row r="611" spans="1:1" ht="15.75" thickBot="1">
      <c r="A611" s="6"/>
    </row>
    <row r="612" spans="1:1" ht="15.75" thickBot="1">
      <c r="A612" s="6"/>
    </row>
    <row r="613" spans="1:1" ht="15.75" thickBot="1">
      <c r="A613" s="6"/>
    </row>
    <row r="614" spans="1:1" ht="15.75" thickBot="1">
      <c r="A614" s="6"/>
    </row>
    <row r="615" spans="1:1" ht="15.75" thickBot="1">
      <c r="A615" s="6"/>
    </row>
    <row r="616" spans="1:1" ht="15.75" thickBot="1">
      <c r="A616" s="6"/>
    </row>
    <row r="617" spans="1:1" ht="15.75" thickBot="1">
      <c r="A617" s="6"/>
    </row>
    <row r="618" spans="1:1" ht="15.75" thickBot="1">
      <c r="A618" s="6"/>
    </row>
    <row r="619" spans="1:1" ht="15.75" thickBot="1">
      <c r="A619" s="6"/>
    </row>
    <row r="620" spans="1:1" ht="15.75" thickBot="1">
      <c r="A620" s="6"/>
    </row>
    <row r="621" spans="1:1" ht="15.75" thickBot="1">
      <c r="A621" s="6"/>
    </row>
    <row r="622" spans="1:1" ht="15.75" thickBot="1">
      <c r="A622" s="6"/>
    </row>
    <row r="623" spans="1:1" ht="15.75" thickBot="1">
      <c r="A623" s="6"/>
    </row>
    <row r="624" spans="1:1" ht="15.75" thickBot="1">
      <c r="A624" s="6"/>
    </row>
    <row r="625" spans="1:1" ht="15.75" thickBot="1">
      <c r="A625" s="6"/>
    </row>
    <row r="626" spans="1:1" ht="15.75" thickBot="1">
      <c r="A626" s="6"/>
    </row>
    <row r="627" spans="1:1" ht="15.75" thickBot="1">
      <c r="A627" s="6"/>
    </row>
    <row r="628" spans="1:1" ht="15.75" thickBot="1">
      <c r="A628" s="6"/>
    </row>
    <row r="629" spans="1:1" ht="15.75" thickBot="1">
      <c r="A629" s="6"/>
    </row>
    <row r="630" spans="1:1" ht="15.75" thickBot="1">
      <c r="A630" s="6"/>
    </row>
    <row r="631" spans="1:1" ht="15.75" thickBot="1">
      <c r="A631" s="6"/>
    </row>
    <row r="632" spans="1:1" ht="15.75" thickBot="1">
      <c r="A632" s="6"/>
    </row>
    <row r="633" spans="1:1" ht="15.75" thickBot="1">
      <c r="A633" s="6"/>
    </row>
    <row r="634" spans="1:1" ht="15.75" thickBot="1">
      <c r="A634" s="6"/>
    </row>
    <row r="635" spans="1:1" ht="15.75" thickBot="1">
      <c r="A635" s="6"/>
    </row>
    <row r="636" spans="1:1" ht="15.75" thickBot="1">
      <c r="A636" s="6"/>
    </row>
    <row r="637" spans="1:1" ht="15.75" thickBot="1">
      <c r="A637" s="6"/>
    </row>
    <row r="638" spans="1:1" ht="15.75" thickBot="1">
      <c r="A638" s="6"/>
    </row>
    <row r="639" spans="1:1" ht="15.75" thickBot="1">
      <c r="A639" s="6"/>
    </row>
    <row r="640" spans="1:1" ht="15.75" thickBot="1">
      <c r="A640" s="6"/>
    </row>
    <row r="641" spans="1:1" ht="15.75" thickBot="1">
      <c r="A641" s="6"/>
    </row>
    <row r="642" spans="1:1" ht="15.75" thickBot="1">
      <c r="A642" s="6"/>
    </row>
    <row r="643" spans="1:1" ht="15.75" thickBot="1">
      <c r="A643" s="6"/>
    </row>
    <row r="644" spans="1:1" ht="15.75" thickBot="1">
      <c r="A644" s="6"/>
    </row>
    <row r="645" spans="1:1" ht="15.75" thickBot="1">
      <c r="A645" s="6"/>
    </row>
    <row r="646" spans="1:1" ht="15.75" thickBot="1">
      <c r="A646" s="6"/>
    </row>
    <row r="647" spans="1:1" ht="15.75" thickBot="1">
      <c r="A647" s="6"/>
    </row>
    <row r="648" spans="1:1" ht="15.75" thickBot="1">
      <c r="A648" s="6"/>
    </row>
    <row r="649" spans="1:1" ht="15.75" thickBot="1">
      <c r="A649" s="6"/>
    </row>
    <row r="650" spans="1:1" ht="15.75" thickBot="1">
      <c r="A650" s="6"/>
    </row>
    <row r="651" spans="1:1" ht="15.75" thickBot="1">
      <c r="A651" s="6"/>
    </row>
    <row r="652" spans="1:1" ht="15.75" thickBot="1">
      <c r="A652" s="6"/>
    </row>
    <row r="653" spans="1:1" ht="15.75" thickBot="1">
      <c r="A653" s="6"/>
    </row>
    <row r="654" spans="1:1" ht="15.75" thickBot="1">
      <c r="A654" s="6"/>
    </row>
    <row r="655" spans="1:1" ht="15.75" thickBot="1">
      <c r="A655" s="6"/>
    </row>
    <row r="656" spans="1:1" ht="15.75" thickBot="1">
      <c r="A656" s="6"/>
    </row>
    <row r="657" spans="1:1" ht="15.75" thickBot="1">
      <c r="A657" s="6"/>
    </row>
    <row r="658" spans="1:1" ht="15.75" thickBot="1">
      <c r="A658" s="6"/>
    </row>
    <row r="659" spans="1:1" ht="15.75" thickBot="1">
      <c r="A659" s="6"/>
    </row>
    <row r="660" spans="1:1" ht="15.75" thickBot="1">
      <c r="A660" s="6"/>
    </row>
    <row r="661" spans="1:1" ht="15.75" thickBot="1">
      <c r="A661" s="6"/>
    </row>
    <row r="662" spans="1:1" ht="15.75" thickBot="1">
      <c r="A662" s="6"/>
    </row>
    <row r="663" spans="1:1" ht="15.75" thickBot="1">
      <c r="A663" s="6"/>
    </row>
    <row r="664" spans="1:1" ht="15.75" thickBot="1">
      <c r="A664" s="6"/>
    </row>
    <row r="665" spans="1:1" ht="15.75" thickBot="1">
      <c r="A665" s="6"/>
    </row>
    <row r="666" spans="1:1" ht="15.75" thickBot="1">
      <c r="A666" s="6"/>
    </row>
    <row r="667" spans="1:1" ht="15.75" thickBot="1">
      <c r="A667" s="6"/>
    </row>
    <row r="668" spans="1:1" ht="15.75" thickBot="1">
      <c r="A668" s="6"/>
    </row>
    <row r="669" spans="1:1" ht="15.75" thickBot="1">
      <c r="A669" s="6"/>
    </row>
    <row r="670" spans="1:1" ht="15.75" thickBot="1">
      <c r="A670" s="6"/>
    </row>
    <row r="671" spans="1:1" ht="15.75" thickBot="1">
      <c r="A671" s="6"/>
    </row>
    <row r="672" spans="1:1" ht="15.75" thickBot="1">
      <c r="A672" s="6"/>
    </row>
    <row r="673" spans="1:1" ht="15.75" thickBot="1">
      <c r="A673" s="6"/>
    </row>
    <row r="674" spans="1:1" ht="15.75" thickBot="1">
      <c r="A674" s="6"/>
    </row>
    <row r="675" spans="1:1" ht="15.75" thickBot="1">
      <c r="A675" s="6"/>
    </row>
    <row r="676" spans="1:1" ht="15.75" thickBot="1">
      <c r="A676" s="6"/>
    </row>
    <row r="677" spans="1:1" ht="15.75" thickBot="1">
      <c r="A677" s="6"/>
    </row>
    <row r="678" spans="1:1" ht="15.75" thickBot="1">
      <c r="A678" s="6"/>
    </row>
    <row r="679" spans="1:1" ht="15.75" thickBot="1">
      <c r="A679" s="6"/>
    </row>
    <row r="680" spans="1:1" ht="15.75" thickBot="1">
      <c r="A680" s="6"/>
    </row>
    <row r="681" spans="1:1" ht="15.75" thickBot="1">
      <c r="A681" s="6"/>
    </row>
    <row r="682" spans="1:1" ht="15.75" thickBot="1">
      <c r="A682" s="6"/>
    </row>
    <row r="683" spans="1:1" ht="15.75" thickBot="1">
      <c r="A683" s="6"/>
    </row>
    <row r="684" spans="1:1" ht="15.75" thickBot="1">
      <c r="A684" s="6"/>
    </row>
    <row r="685" spans="1:1" ht="15.75" thickBot="1">
      <c r="A685" s="6"/>
    </row>
    <row r="686" spans="1:1" ht="15.75" thickBot="1">
      <c r="A686" s="6"/>
    </row>
    <row r="687" spans="1:1" ht="15.75" thickBot="1">
      <c r="A687" s="6"/>
    </row>
    <row r="688" spans="1:1" ht="15.75" thickBot="1">
      <c r="A688" s="6"/>
    </row>
    <row r="689" spans="1:1" ht="15.75" thickBot="1">
      <c r="A689" s="6"/>
    </row>
    <row r="690" spans="1:1" ht="15.75" thickBot="1">
      <c r="A690" s="6"/>
    </row>
    <row r="691" spans="1:1" ht="15.75" thickBot="1">
      <c r="A691" s="6"/>
    </row>
    <row r="692" spans="1:1" ht="15.75" thickBot="1">
      <c r="A692" s="6"/>
    </row>
    <row r="693" spans="1:1" ht="15.75" thickBot="1">
      <c r="A693" s="6"/>
    </row>
    <row r="694" spans="1:1" ht="15.75" thickBot="1">
      <c r="A694" s="6"/>
    </row>
    <row r="695" spans="1:1" ht="15.75" thickBot="1">
      <c r="A695" s="6"/>
    </row>
    <row r="696" spans="1:1" ht="15.75" thickBot="1">
      <c r="A696" s="6"/>
    </row>
    <row r="697" spans="1:1" ht="15.75" thickBot="1">
      <c r="A697" s="6"/>
    </row>
    <row r="698" spans="1:1" ht="15.75" thickBot="1">
      <c r="A698" s="6"/>
    </row>
    <row r="699" spans="1:1" ht="15.75" thickBot="1">
      <c r="A699" s="6"/>
    </row>
    <row r="700" spans="1:1" ht="15.75" thickBot="1">
      <c r="A700" s="6"/>
    </row>
    <row r="701" spans="1:1" ht="15.75" thickBot="1">
      <c r="A701" s="6"/>
    </row>
    <row r="702" spans="1:1" ht="15.75" thickBot="1">
      <c r="A702" s="6"/>
    </row>
    <row r="703" spans="1:1" ht="15.75" thickBot="1">
      <c r="A703" s="6"/>
    </row>
    <row r="704" spans="1:1" ht="15.75" thickBot="1">
      <c r="A704" s="6"/>
    </row>
    <row r="705" spans="1:1" ht="15.75" thickBot="1">
      <c r="A705" s="6"/>
    </row>
    <row r="706" spans="1:1" ht="15.75" thickBot="1">
      <c r="A706" s="6"/>
    </row>
    <row r="707" spans="1:1" ht="15.75" thickBot="1">
      <c r="A707" s="6"/>
    </row>
    <row r="708" spans="1:1" ht="15.75" thickBot="1">
      <c r="A708" s="6"/>
    </row>
    <row r="709" spans="1:1" ht="15.75" thickBot="1">
      <c r="A709" s="6"/>
    </row>
    <row r="710" spans="1:1" ht="15.75" thickBot="1">
      <c r="A710" s="6"/>
    </row>
    <row r="711" spans="1:1" ht="15.75" thickBot="1">
      <c r="A711" s="6"/>
    </row>
    <row r="712" spans="1:1" ht="15.75" thickBot="1">
      <c r="A712" s="6"/>
    </row>
    <row r="713" spans="1:1" ht="15.75" thickBot="1">
      <c r="A713" s="6"/>
    </row>
    <row r="714" spans="1:1" ht="15.75" thickBot="1">
      <c r="A714" s="6"/>
    </row>
    <row r="715" spans="1:1" ht="15.75" thickBot="1">
      <c r="A715" s="6"/>
    </row>
    <row r="716" spans="1:1" ht="15.75" thickBot="1">
      <c r="A716" s="6"/>
    </row>
    <row r="717" spans="1:1" ht="15.75" thickBot="1">
      <c r="A717" s="6"/>
    </row>
    <row r="718" spans="1:1" ht="15.75" thickBot="1">
      <c r="A718" s="6"/>
    </row>
    <row r="719" spans="1:1" ht="15.75" thickBot="1">
      <c r="A719" s="6"/>
    </row>
    <row r="720" spans="1:1" ht="15.75" thickBot="1">
      <c r="A720" s="6"/>
    </row>
    <row r="721" spans="1:1" ht="15.75" thickBot="1">
      <c r="A721" s="6"/>
    </row>
    <row r="722" spans="1:1" ht="15.75" thickBot="1">
      <c r="A722" s="6"/>
    </row>
    <row r="723" spans="1:1" ht="15.75" thickBot="1">
      <c r="A723" s="6"/>
    </row>
    <row r="724" spans="1:1" ht="15.75" thickBot="1">
      <c r="A724" s="6"/>
    </row>
    <row r="725" spans="1:1" ht="15.75" thickBot="1">
      <c r="A725" s="6"/>
    </row>
    <row r="726" spans="1:1" ht="15.75" thickBot="1">
      <c r="A726" s="6"/>
    </row>
    <row r="727" spans="1:1" ht="15.75" thickBot="1">
      <c r="A727" s="6"/>
    </row>
    <row r="728" spans="1:1" ht="15.75" thickBot="1">
      <c r="A728" s="6"/>
    </row>
    <row r="729" spans="1:1" ht="15.75" thickBot="1">
      <c r="A729" s="6"/>
    </row>
    <row r="730" spans="1:1" ht="15.75" thickBot="1">
      <c r="A730" s="6"/>
    </row>
    <row r="731" spans="1:1" ht="15.75" thickBot="1">
      <c r="A731" s="6"/>
    </row>
    <row r="732" spans="1:1" ht="15.75" thickBot="1">
      <c r="A732" s="6"/>
    </row>
    <row r="733" spans="1:1" ht="15.75" thickBot="1">
      <c r="A733" s="6"/>
    </row>
    <row r="734" spans="1:1" ht="15.75" thickBot="1">
      <c r="A734" s="6"/>
    </row>
    <row r="735" spans="1:1" ht="15.75" thickBot="1">
      <c r="A735" s="6"/>
    </row>
    <row r="736" spans="1:1" ht="15.75" thickBot="1">
      <c r="A736" s="6"/>
    </row>
    <row r="737" spans="1:1" ht="15.75" thickBot="1">
      <c r="A737" s="6"/>
    </row>
    <row r="738" spans="1:1" ht="15.75" thickBot="1">
      <c r="A738" s="6"/>
    </row>
    <row r="739" spans="1:1" ht="15.75" thickBot="1">
      <c r="A739" s="6"/>
    </row>
    <row r="740" spans="1:1" ht="15.75" thickBot="1">
      <c r="A740" s="6"/>
    </row>
    <row r="741" spans="1:1" ht="15.75" thickBot="1">
      <c r="A741" s="6"/>
    </row>
    <row r="742" spans="1:1" ht="15.75" thickBot="1">
      <c r="A742" s="6"/>
    </row>
    <row r="743" spans="1:1" ht="15.75" thickBot="1">
      <c r="A743" s="6"/>
    </row>
    <row r="744" spans="1:1" ht="15.75" thickBot="1">
      <c r="A744" s="6"/>
    </row>
    <row r="745" spans="1:1" ht="15.75" thickBot="1">
      <c r="A745" s="6"/>
    </row>
    <row r="746" spans="1:1" ht="15.75" thickBot="1">
      <c r="A746" s="6"/>
    </row>
    <row r="747" spans="1:1" ht="15.75" thickBot="1">
      <c r="A747" s="6"/>
    </row>
    <row r="748" spans="1:1" ht="15.75" thickBot="1">
      <c r="A748" s="6"/>
    </row>
    <row r="749" spans="1:1" ht="15.75" thickBot="1">
      <c r="A749" s="6"/>
    </row>
    <row r="750" spans="1:1" ht="15.75" thickBot="1">
      <c r="A750" s="6"/>
    </row>
    <row r="751" spans="1:1" ht="15.75" thickBot="1">
      <c r="A751" s="6"/>
    </row>
    <row r="752" spans="1:1" ht="15.75" thickBot="1">
      <c r="A752" s="6"/>
    </row>
    <row r="753" spans="1:1" ht="15.75" thickBot="1">
      <c r="A753" s="6"/>
    </row>
    <row r="754" spans="1:1" ht="15.75" thickBot="1">
      <c r="A754" s="6"/>
    </row>
    <row r="755" spans="1:1" ht="15.75" thickBot="1">
      <c r="A755" s="6"/>
    </row>
    <row r="756" spans="1:1" ht="15.75" thickBot="1">
      <c r="A756" s="6"/>
    </row>
    <row r="757" spans="1:1" ht="15.75" thickBot="1">
      <c r="A757" s="6"/>
    </row>
    <row r="758" spans="1:1" ht="15.75" thickBot="1">
      <c r="A758" s="6"/>
    </row>
    <row r="759" spans="1:1" ht="15.75" thickBot="1">
      <c r="A759" s="6"/>
    </row>
    <row r="760" spans="1:1" ht="15.75" thickBot="1">
      <c r="A760" s="6"/>
    </row>
    <row r="761" spans="1:1" ht="15.75" thickBot="1">
      <c r="A761" s="6"/>
    </row>
    <row r="762" spans="1:1" ht="15.75" thickBot="1">
      <c r="A762" s="6"/>
    </row>
    <row r="763" spans="1:1" ht="15.75" thickBot="1">
      <c r="A763" s="6"/>
    </row>
    <row r="764" spans="1:1" ht="15.75" thickBot="1">
      <c r="A764" s="6"/>
    </row>
    <row r="765" spans="1:1" ht="15.75" thickBot="1">
      <c r="A765" s="6"/>
    </row>
    <row r="766" spans="1:1" ht="15.75" thickBot="1">
      <c r="A766" s="6"/>
    </row>
    <row r="767" spans="1:1" ht="15.75" thickBot="1">
      <c r="A767" s="6"/>
    </row>
    <row r="768" spans="1:1" ht="15.75" thickBot="1">
      <c r="A768" s="6"/>
    </row>
    <row r="769" spans="1:1" ht="15.75" thickBot="1">
      <c r="A769" s="6"/>
    </row>
    <row r="770" spans="1:1" ht="15.75" thickBot="1">
      <c r="A770" s="6"/>
    </row>
    <row r="771" spans="1:1" ht="15.75" thickBot="1">
      <c r="A771" s="6"/>
    </row>
    <row r="772" spans="1:1" ht="15.75" thickBot="1">
      <c r="A772" s="6"/>
    </row>
    <row r="773" spans="1:1" ht="15.75" thickBot="1">
      <c r="A773" s="6"/>
    </row>
    <row r="774" spans="1:1" ht="15.75" thickBot="1">
      <c r="A774" s="6"/>
    </row>
    <row r="775" spans="1:1" ht="15.75" thickBot="1">
      <c r="A775" s="6"/>
    </row>
    <row r="776" spans="1:1" ht="15.75" thickBot="1">
      <c r="A776" s="6"/>
    </row>
    <row r="777" spans="1:1" ht="15.75" thickBot="1">
      <c r="A777" s="6"/>
    </row>
    <row r="778" spans="1:1" ht="15.75" thickBot="1">
      <c r="A778" s="6"/>
    </row>
    <row r="779" spans="1:1" ht="15.75" thickBot="1">
      <c r="A779" s="6"/>
    </row>
    <row r="780" spans="1:1" ht="15.75" thickBot="1">
      <c r="A780" s="6"/>
    </row>
    <row r="781" spans="1:1" ht="15.75" thickBot="1">
      <c r="A781" s="6"/>
    </row>
    <row r="782" spans="1:1" ht="15.75" thickBot="1">
      <c r="A782" s="6"/>
    </row>
    <row r="783" spans="1:1" ht="15.75" thickBot="1">
      <c r="A783" s="6"/>
    </row>
    <row r="784" spans="1:1" ht="15.75" thickBot="1">
      <c r="A784" s="6"/>
    </row>
    <row r="785" spans="1:1" ht="15.75" thickBot="1">
      <c r="A785" s="6"/>
    </row>
    <row r="786" spans="1:1" ht="15.75" thickBot="1">
      <c r="A786" s="6"/>
    </row>
    <row r="787" spans="1:1" ht="15.75" thickBot="1">
      <c r="A787" s="6"/>
    </row>
    <row r="788" spans="1:1" ht="15.75" thickBot="1">
      <c r="A788" s="6"/>
    </row>
    <row r="789" spans="1:1" ht="15.75" thickBot="1">
      <c r="A789" s="6"/>
    </row>
    <row r="790" spans="1:1" ht="15.75" thickBot="1">
      <c r="A790" s="6"/>
    </row>
    <row r="791" spans="1:1" ht="15.75" thickBot="1">
      <c r="A791" s="6"/>
    </row>
    <row r="792" spans="1:1" ht="15.75" thickBot="1">
      <c r="A792" s="6"/>
    </row>
    <row r="793" spans="1:1" ht="15.75" thickBot="1">
      <c r="A793" s="6"/>
    </row>
    <row r="794" spans="1:1" ht="15.75" thickBot="1">
      <c r="A794" s="6"/>
    </row>
    <row r="795" spans="1:1" ht="15.75" thickBot="1">
      <c r="A795" s="6"/>
    </row>
    <row r="796" spans="1:1" ht="15.75" thickBot="1">
      <c r="A796" s="6"/>
    </row>
    <row r="797" spans="1:1" ht="15.75" thickBot="1">
      <c r="A797" s="6"/>
    </row>
    <row r="798" spans="1:1" ht="15.75" thickBot="1">
      <c r="A798" s="6"/>
    </row>
    <row r="799" spans="1:1" ht="15.75" thickBot="1">
      <c r="A799" s="6"/>
    </row>
    <row r="800" spans="1:1" ht="15.75" thickBot="1">
      <c r="A800" s="6"/>
    </row>
    <row r="801" spans="1:1" ht="15.75" thickBot="1">
      <c r="A801" s="6"/>
    </row>
    <row r="802" spans="1:1" ht="15.75" thickBot="1">
      <c r="A802" s="6"/>
    </row>
    <row r="803" spans="1:1" ht="15.75" thickBot="1">
      <c r="A803" s="6"/>
    </row>
    <row r="804" spans="1:1" ht="15.75" thickBot="1">
      <c r="A804" s="6"/>
    </row>
    <row r="805" spans="1:1" ht="15.75" thickBot="1">
      <c r="A805" s="6"/>
    </row>
    <row r="806" spans="1:1" ht="15.75" thickBot="1">
      <c r="A806" s="6"/>
    </row>
    <row r="807" spans="1:1" ht="15.75" thickBot="1">
      <c r="A807" s="6"/>
    </row>
    <row r="808" spans="1:1" ht="15.75" thickBot="1">
      <c r="A808" s="6"/>
    </row>
    <row r="809" spans="1:1" ht="15.75" thickBot="1">
      <c r="A809" s="6"/>
    </row>
    <row r="810" spans="1:1" ht="15.75" thickBot="1">
      <c r="A810" s="6"/>
    </row>
    <row r="811" spans="1:1" ht="15.75" thickBot="1">
      <c r="A811" s="6"/>
    </row>
    <row r="812" spans="1:1" ht="15.75" thickBot="1">
      <c r="A812" s="6"/>
    </row>
    <row r="813" spans="1:1" ht="15.75" thickBot="1">
      <c r="A813" s="6"/>
    </row>
    <row r="814" spans="1:1" ht="15.75" thickBot="1">
      <c r="A814" s="6"/>
    </row>
    <row r="815" spans="1:1" ht="15.75" thickBot="1">
      <c r="A815" s="6"/>
    </row>
    <row r="816" spans="1:1" ht="15.75" thickBot="1">
      <c r="A816" s="6"/>
    </row>
    <row r="817" spans="1:1" ht="15.75" thickBot="1">
      <c r="A817" s="6"/>
    </row>
    <row r="818" spans="1:1" ht="15.75" thickBot="1">
      <c r="A818" s="6"/>
    </row>
    <row r="819" spans="1:1" ht="15.75" thickBot="1">
      <c r="A819" s="6"/>
    </row>
    <row r="820" spans="1:1" ht="15.75" thickBot="1">
      <c r="A820" s="6"/>
    </row>
    <row r="821" spans="1:1" ht="15.75" thickBot="1">
      <c r="A821" s="6"/>
    </row>
    <row r="822" spans="1:1" ht="15.75" thickBot="1">
      <c r="A822" s="6"/>
    </row>
    <row r="823" spans="1:1" ht="15.75" thickBot="1">
      <c r="A823" s="6"/>
    </row>
    <row r="824" spans="1:1" ht="15.75" thickBot="1">
      <c r="A824" s="6"/>
    </row>
    <row r="825" spans="1:1" ht="15.75" thickBot="1">
      <c r="A825" s="6"/>
    </row>
    <row r="826" spans="1:1" ht="15.75" thickBot="1">
      <c r="A826" s="6"/>
    </row>
    <row r="827" spans="1:1" ht="15.75" thickBot="1">
      <c r="A827" s="6"/>
    </row>
    <row r="828" spans="1:1" ht="15.75" thickBot="1">
      <c r="A828" s="6"/>
    </row>
    <row r="829" spans="1:1" ht="15.75" thickBot="1">
      <c r="A829" s="6"/>
    </row>
    <row r="830" spans="1:1" ht="15.75" thickBot="1">
      <c r="A830" s="6"/>
    </row>
    <row r="831" spans="1:1" ht="15.75" thickBot="1">
      <c r="A831" s="6"/>
    </row>
    <row r="832" spans="1:1" ht="15.75" thickBot="1">
      <c r="A832" s="6"/>
    </row>
    <row r="833" spans="1:1" ht="15.75" thickBot="1">
      <c r="A833" s="6"/>
    </row>
    <row r="834" spans="1:1" ht="15.75" thickBot="1">
      <c r="A834" s="6"/>
    </row>
    <row r="835" spans="1:1" ht="15.75" thickBot="1">
      <c r="A835" s="6"/>
    </row>
    <row r="836" spans="1:1" ht="15.75" thickBot="1">
      <c r="A836" s="6"/>
    </row>
    <row r="837" spans="1:1" ht="15.75" thickBot="1">
      <c r="A837" s="6"/>
    </row>
    <row r="838" spans="1:1" ht="15.75" thickBot="1">
      <c r="A838" s="6"/>
    </row>
    <row r="839" spans="1:1" ht="15.75" thickBot="1">
      <c r="A839" s="6"/>
    </row>
    <row r="840" spans="1:1" ht="15.75" thickBot="1">
      <c r="A840" s="6"/>
    </row>
    <row r="841" spans="1:1" ht="15.75" thickBot="1">
      <c r="A841" s="6"/>
    </row>
    <row r="842" spans="1:1" ht="15.75" thickBot="1">
      <c r="A842" s="6"/>
    </row>
    <row r="843" spans="1:1" ht="15.75" thickBot="1">
      <c r="A843" s="6"/>
    </row>
    <row r="844" spans="1:1" ht="15.75" thickBot="1">
      <c r="A844" s="6"/>
    </row>
    <row r="845" spans="1:1" ht="15.75" thickBot="1">
      <c r="A845" s="6"/>
    </row>
    <row r="846" spans="1:1" ht="15.75" thickBot="1">
      <c r="A846" s="6"/>
    </row>
    <row r="847" spans="1:1" ht="15.75" thickBot="1">
      <c r="A847" s="6"/>
    </row>
    <row r="848" spans="1:1" ht="15.75" thickBot="1">
      <c r="A848" s="6"/>
    </row>
    <row r="849" spans="1:1" ht="15.75" thickBot="1">
      <c r="A849" s="6"/>
    </row>
    <row r="850" spans="1:1" ht="15.75" thickBot="1">
      <c r="A850" s="6"/>
    </row>
    <row r="851" spans="1:1" ht="15.75" thickBot="1">
      <c r="A851" s="6"/>
    </row>
    <row r="852" spans="1:1" ht="15.75" thickBot="1">
      <c r="A852" s="6"/>
    </row>
    <row r="853" spans="1:1" ht="15.75" thickBot="1">
      <c r="A853" s="6"/>
    </row>
    <row r="854" spans="1:1" ht="15.75" thickBot="1">
      <c r="A854" s="6"/>
    </row>
    <row r="855" spans="1:1" ht="15.75" thickBot="1">
      <c r="A855" s="6"/>
    </row>
    <row r="856" spans="1:1" ht="15.75" thickBot="1">
      <c r="A856" s="6"/>
    </row>
    <row r="857" spans="1:1" ht="15.75" thickBot="1">
      <c r="A857" s="6"/>
    </row>
    <row r="858" spans="1:1" ht="15.75" thickBot="1">
      <c r="A858" s="6"/>
    </row>
    <row r="859" spans="1:1" ht="15.75" thickBot="1">
      <c r="A859" s="6"/>
    </row>
    <row r="860" spans="1:1" ht="15.75" thickBot="1">
      <c r="A860" s="6"/>
    </row>
    <row r="861" spans="1:1" ht="15.75" thickBot="1">
      <c r="A861" s="6"/>
    </row>
    <row r="862" spans="1:1" ht="15.75" thickBot="1">
      <c r="A862" s="6"/>
    </row>
    <row r="863" spans="1:1" ht="15.75" thickBot="1">
      <c r="A863" s="6"/>
    </row>
    <row r="864" spans="1:1" ht="15.75" thickBot="1">
      <c r="A864" s="6"/>
    </row>
    <row r="865" spans="1:1" ht="15.75" thickBot="1">
      <c r="A865" s="6"/>
    </row>
    <row r="866" spans="1:1" ht="15.75" thickBot="1">
      <c r="A866" s="6"/>
    </row>
    <row r="867" spans="1:1" ht="15.75" thickBot="1">
      <c r="A867" s="6"/>
    </row>
    <row r="868" spans="1:1" ht="15.75" thickBot="1">
      <c r="A868" s="6"/>
    </row>
    <row r="869" spans="1:1" ht="15.75" thickBot="1">
      <c r="A869" s="6"/>
    </row>
    <row r="870" spans="1:1" ht="15.75" thickBot="1">
      <c r="A870" s="6"/>
    </row>
    <row r="871" spans="1:1" ht="15.75" thickBot="1">
      <c r="A871" s="6"/>
    </row>
    <row r="872" spans="1:1" ht="15.75" thickBot="1">
      <c r="A872" s="6"/>
    </row>
    <row r="873" spans="1:1" ht="15.75" thickBot="1">
      <c r="A873" s="6"/>
    </row>
    <row r="874" spans="1:1" ht="15.75" thickBot="1">
      <c r="A874" s="6"/>
    </row>
    <row r="875" spans="1:1" ht="15.75" thickBot="1">
      <c r="A875" s="6"/>
    </row>
    <row r="876" spans="1:1" ht="15.75" thickBot="1">
      <c r="A876" s="6"/>
    </row>
    <row r="877" spans="1:1" ht="15.75" thickBot="1">
      <c r="A877" s="6"/>
    </row>
    <row r="878" spans="1:1" ht="15.75" thickBot="1">
      <c r="A878" s="6"/>
    </row>
    <row r="879" spans="1:1" ht="15.75" thickBot="1">
      <c r="A879" s="6"/>
    </row>
    <row r="880" spans="1:1" ht="15.75" thickBot="1">
      <c r="A880" s="6"/>
    </row>
    <row r="881" spans="1:1" ht="15.75" thickBot="1">
      <c r="A881" s="6"/>
    </row>
    <row r="882" spans="1:1" ht="15.75" thickBot="1">
      <c r="A882" s="6"/>
    </row>
    <row r="883" spans="1:1" ht="15.75" thickBot="1">
      <c r="A883" s="6"/>
    </row>
    <row r="884" spans="1:1" ht="15.75" thickBot="1">
      <c r="A884" s="6"/>
    </row>
    <row r="885" spans="1:1" ht="15.75" thickBot="1">
      <c r="A885" s="6"/>
    </row>
    <row r="886" spans="1:1" ht="15.75" thickBot="1">
      <c r="A886" s="6"/>
    </row>
    <row r="887" spans="1:1" ht="15.75" thickBot="1">
      <c r="A887" s="6"/>
    </row>
    <row r="888" spans="1:1" ht="15.75" thickBot="1">
      <c r="A888" s="6"/>
    </row>
    <row r="889" spans="1:1" ht="15.75" thickBot="1">
      <c r="A889" s="6"/>
    </row>
    <row r="890" spans="1:1" ht="15.75" thickBot="1">
      <c r="A890" s="6"/>
    </row>
    <row r="891" spans="1:1" ht="15.75" thickBot="1">
      <c r="A891" s="6"/>
    </row>
    <row r="892" spans="1:1" ht="15.75" thickBot="1">
      <c r="A892" s="6"/>
    </row>
    <row r="893" spans="1:1" ht="15.75" thickBot="1">
      <c r="A893" s="6"/>
    </row>
    <row r="894" spans="1:1" ht="15.75" thickBot="1">
      <c r="A894" s="6"/>
    </row>
    <row r="895" spans="1:1" ht="15.75" thickBot="1">
      <c r="A895" s="6"/>
    </row>
    <row r="896" spans="1:1" ht="15.75" thickBot="1">
      <c r="A896" s="6"/>
    </row>
    <row r="897" spans="1:1" ht="15.75" thickBot="1">
      <c r="A897" s="6"/>
    </row>
    <row r="898" spans="1:1" ht="15.75" thickBot="1">
      <c r="A898" s="6"/>
    </row>
    <row r="899" spans="1:1" ht="15.75" thickBot="1">
      <c r="A899" s="6"/>
    </row>
    <row r="900" spans="1:1" ht="15.75" thickBot="1">
      <c r="A900" s="6"/>
    </row>
    <row r="901" spans="1:1" ht="15.75" thickBot="1">
      <c r="A901" s="6"/>
    </row>
    <row r="902" spans="1:1" ht="15.75" thickBot="1">
      <c r="A902" s="6"/>
    </row>
    <row r="903" spans="1:1" ht="15.75" thickBot="1">
      <c r="A903" s="6"/>
    </row>
    <row r="904" spans="1:1" ht="15.75" thickBot="1">
      <c r="A904" s="6"/>
    </row>
    <row r="905" spans="1:1" ht="15.75" thickBot="1">
      <c r="A905" s="6"/>
    </row>
    <row r="906" spans="1:1" ht="15.75" thickBot="1">
      <c r="A906" s="6"/>
    </row>
    <row r="907" spans="1:1" ht="15.75" thickBot="1">
      <c r="A907" s="6"/>
    </row>
    <row r="908" spans="1:1" ht="15.75" thickBot="1">
      <c r="A908" s="6"/>
    </row>
    <row r="909" spans="1:1" ht="15.75" thickBot="1">
      <c r="A909" s="6"/>
    </row>
    <row r="910" spans="1:1" ht="15.75" thickBot="1">
      <c r="A910" s="6"/>
    </row>
    <row r="911" spans="1:1" ht="15.75" thickBot="1">
      <c r="A911" s="6"/>
    </row>
    <row r="912" spans="1:1" ht="15.75" thickBot="1">
      <c r="A912" s="6"/>
    </row>
    <row r="913" spans="1:1" ht="15.75" thickBot="1">
      <c r="A913" s="6"/>
    </row>
    <row r="914" spans="1:1" ht="15.75" thickBot="1">
      <c r="A914" s="6"/>
    </row>
    <row r="915" spans="1:1" ht="15.75" thickBot="1">
      <c r="A915" s="6"/>
    </row>
    <row r="916" spans="1:1" ht="15.75" thickBot="1">
      <c r="A916" s="6"/>
    </row>
    <row r="917" spans="1:1" ht="15.75" thickBot="1">
      <c r="A917" s="6"/>
    </row>
    <row r="918" spans="1:1" ht="15.75" thickBot="1">
      <c r="A918" s="6"/>
    </row>
    <row r="919" spans="1:1" ht="15.75" thickBot="1">
      <c r="A919" s="6"/>
    </row>
    <row r="920" spans="1:1" ht="15.75" thickBot="1">
      <c r="A920" s="6"/>
    </row>
    <row r="921" spans="1:1" ht="15.75" thickBot="1">
      <c r="A921" s="6"/>
    </row>
    <row r="922" spans="1:1" ht="15.75" thickBot="1">
      <c r="A922" s="6"/>
    </row>
    <row r="923" spans="1:1" ht="15.75" thickBot="1">
      <c r="A923" s="6"/>
    </row>
    <row r="924" spans="1:1" ht="15.75" thickBot="1">
      <c r="A924" s="6"/>
    </row>
    <row r="925" spans="1:1" ht="15.75" thickBot="1">
      <c r="A925" s="6"/>
    </row>
    <row r="926" spans="1:1" ht="15.75" thickBot="1">
      <c r="A926" s="6"/>
    </row>
    <row r="927" spans="1:1" ht="15.75" thickBot="1">
      <c r="A927" s="6"/>
    </row>
    <row r="928" spans="1:1" ht="15.75" thickBot="1">
      <c r="A928" s="6"/>
    </row>
    <row r="929" spans="1:1" ht="15.75" thickBot="1">
      <c r="A929" s="6"/>
    </row>
    <row r="930" spans="1:1" ht="15.75" thickBot="1">
      <c r="A930" s="6"/>
    </row>
    <row r="931" spans="1:1" ht="15.75" thickBot="1">
      <c r="A931" s="6"/>
    </row>
    <row r="932" spans="1:1" ht="15.75" thickBot="1">
      <c r="A932" s="6"/>
    </row>
    <row r="933" spans="1:1" ht="15.75" thickBot="1">
      <c r="A933" s="6"/>
    </row>
    <row r="934" spans="1:1" ht="15.75" thickBot="1">
      <c r="A934" s="6"/>
    </row>
    <row r="935" spans="1:1" ht="15.75" thickBot="1">
      <c r="A935" s="6"/>
    </row>
    <row r="936" spans="1:1" ht="15.75" thickBot="1">
      <c r="A936" s="6"/>
    </row>
    <row r="937" spans="1:1" ht="15.75" thickBot="1">
      <c r="A937" s="6"/>
    </row>
    <row r="938" spans="1:1" ht="15.75" thickBot="1">
      <c r="A938" s="6"/>
    </row>
    <row r="939" spans="1:1" ht="15.75" thickBot="1">
      <c r="A939" s="6"/>
    </row>
    <row r="940" spans="1:1" ht="15.75" thickBot="1">
      <c r="A940" s="6"/>
    </row>
    <row r="941" spans="1:1" ht="15.75" thickBot="1">
      <c r="A941" s="6"/>
    </row>
    <row r="942" spans="1:1" ht="15.75" thickBot="1">
      <c r="A942" s="6"/>
    </row>
    <row r="943" spans="1:1" ht="15.75" thickBot="1">
      <c r="A943" s="6"/>
    </row>
    <row r="944" spans="1:1" ht="15.75" thickBot="1">
      <c r="A944" s="6"/>
    </row>
    <row r="945" spans="1:1" ht="15.75" thickBot="1">
      <c r="A945" s="6"/>
    </row>
    <row r="946" spans="1:1" ht="15.75" thickBot="1">
      <c r="A946" s="6"/>
    </row>
    <row r="947" spans="1:1" ht="15.75" thickBot="1">
      <c r="A947" s="6"/>
    </row>
    <row r="948" spans="1:1" ht="15.75" thickBot="1">
      <c r="A948" s="6"/>
    </row>
    <row r="949" spans="1:1" ht="15.75" thickBot="1">
      <c r="A949" s="6"/>
    </row>
    <row r="950" spans="1:1" ht="15.75" thickBot="1">
      <c r="A950" s="6"/>
    </row>
    <row r="951" spans="1:1" ht="15.75" thickBot="1">
      <c r="A951" s="6"/>
    </row>
    <row r="952" spans="1:1" ht="15.75" thickBot="1">
      <c r="A952" s="6"/>
    </row>
    <row r="953" spans="1:1" ht="15.75" thickBot="1">
      <c r="A953" s="6"/>
    </row>
    <row r="954" spans="1:1" ht="15.75" thickBot="1">
      <c r="A954" s="6"/>
    </row>
    <row r="955" spans="1:1" ht="15.75" thickBot="1">
      <c r="A955" s="6"/>
    </row>
    <row r="956" spans="1:1" ht="15.75" thickBot="1">
      <c r="A956" s="6"/>
    </row>
    <row r="957" spans="1:1" ht="15.75" thickBot="1">
      <c r="A957" s="6"/>
    </row>
    <row r="958" spans="1:1" ht="15.75" thickBot="1">
      <c r="A958" s="6"/>
    </row>
    <row r="959" spans="1:1" ht="15.75" thickBot="1">
      <c r="A959" s="6"/>
    </row>
    <row r="960" spans="1:1" ht="15.75" thickBot="1">
      <c r="A960" s="6"/>
    </row>
    <row r="961" spans="1:1" ht="15.75" thickBot="1">
      <c r="A961" s="6"/>
    </row>
    <row r="962" spans="1:1" ht="15.75" thickBot="1">
      <c r="A962" s="6"/>
    </row>
    <row r="963" spans="1:1" ht="15.75" thickBot="1">
      <c r="A963" s="6"/>
    </row>
    <row r="964" spans="1:1" ht="15.75" thickBot="1">
      <c r="A964" s="6"/>
    </row>
    <row r="965" spans="1:1" ht="15.75" thickBot="1">
      <c r="A965" s="6"/>
    </row>
    <row r="966" spans="1:1" ht="15.75" thickBot="1">
      <c r="A966" s="6"/>
    </row>
    <row r="967" spans="1:1" ht="15.75" thickBot="1">
      <c r="A967" s="6"/>
    </row>
    <row r="968" spans="1:1" ht="15.75" thickBot="1">
      <c r="A968" s="6"/>
    </row>
    <row r="969" spans="1:1" ht="15.75" thickBot="1">
      <c r="A969" s="6"/>
    </row>
    <row r="970" spans="1:1" ht="15.75" thickBot="1">
      <c r="A970" s="6"/>
    </row>
    <row r="971" spans="1:1" ht="15.75" thickBot="1">
      <c r="A971" s="6"/>
    </row>
    <row r="972" spans="1:1" ht="15.75" thickBot="1">
      <c r="A972" s="6"/>
    </row>
    <row r="973" spans="1:1" ht="15.75" thickBot="1">
      <c r="A973" s="6"/>
    </row>
    <row r="974" spans="1:1" ht="15.75" thickBot="1">
      <c r="A974" s="6"/>
    </row>
    <row r="975" spans="1:1" ht="15.75" thickBot="1">
      <c r="A975" s="6"/>
    </row>
    <row r="976" spans="1:1" ht="15.75" thickBot="1">
      <c r="A976" s="6"/>
    </row>
    <row r="977" spans="1:1" ht="15.75" thickBot="1">
      <c r="A977" s="6"/>
    </row>
  </sheetData>
  <hyperlinks>
    <hyperlink ref="A1" r:id="rId1"/>
    <hyperlink ref="A2" r:id="rId2"/>
    <hyperlink ref="A3" r:id="rId3"/>
    <hyperlink ref="A4" r:id="rId4"/>
    <hyperlink ref="A5" r:id="rId5"/>
    <hyperlink ref="A6" r:id="rId6"/>
    <hyperlink ref="A7" r:id="rId7"/>
    <hyperlink ref="A8" r:id="rId8"/>
    <hyperlink ref="A9" r:id="rId9"/>
    <hyperlink ref="A10" r:id="rId10" location="gid=0" display="https://docs.google.com/spreadsheets/d/1OY8YymIGJzEYTBVKwpkGE-vDsYz3rKSjNe1TUj3qt40/edit?ts=588a2a74 - gid=0"/>
    <hyperlink ref="A11" r:id="rId11"/>
    <hyperlink ref="A12" r:id="rId12"/>
    <hyperlink ref="A13" r:id="rId13"/>
    <hyperlink ref="A14" r:id="rId14"/>
    <hyperlink ref="A15" r:id="rId15"/>
    <hyperlink ref="A16" r:id="rId16"/>
    <hyperlink ref="A17" r:id="rId17"/>
    <hyperlink ref="A18" r:id="rId18"/>
    <hyperlink ref="A19" r:id="rId19"/>
    <hyperlink ref="A20" r:id="rId20"/>
    <hyperlink ref="A21" r:id="rId21"/>
    <hyperlink ref="A22" r:id="rId22"/>
    <hyperlink ref="A23" r:id="rId23"/>
    <hyperlink ref="A24" r:id="rId24"/>
    <hyperlink ref="A25" r:id="rId25"/>
    <hyperlink ref="A26" r:id="rId26"/>
    <hyperlink ref="A27" r:id="rId27"/>
    <hyperlink ref="A28" r:id="rId28"/>
    <hyperlink ref="A29" r:id="rId29"/>
    <hyperlink ref="A30" r:id="rId30" location="sthash.OhN0EPbC.dpbs" display="http://www.ladiscusion.cl/detalle/10722/Investigan-posible-femicidio-en-la-comuna-de-Pemuco - sthash.OhN0EPbC.dpbs"/>
    <hyperlink ref="A31" r:id="rId31"/>
    <hyperlink ref="A32" r:id="rId32"/>
    <hyperlink ref="A33" r:id="rId33"/>
    <hyperlink ref="A34" r:id="rId34"/>
    <hyperlink ref="A35" r:id="rId35"/>
    <hyperlink ref="A36" r:id="rId36"/>
    <hyperlink ref="A37" r:id="rId37"/>
    <hyperlink ref="A38" r:id="rId38"/>
    <hyperlink ref="A39" r:id="rId39"/>
    <hyperlink ref="A40" r:id="rId40"/>
    <hyperlink ref="A41" r:id="rId41"/>
    <hyperlink ref="A42" r:id="rId42"/>
    <hyperlink ref="A43" r:id="rId43"/>
    <hyperlink ref="A44" r:id="rId44"/>
    <hyperlink ref="A45" r:id="rId45"/>
    <hyperlink ref="A46" r:id="rId46"/>
    <hyperlink ref="A47" r:id="rId47"/>
    <hyperlink ref="A48" r:id="rId48"/>
    <hyperlink ref="A49" r:id="rId49"/>
    <hyperlink ref="A50" r:id="rId50"/>
    <hyperlink ref="A51" r:id="rId51"/>
    <hyperlink ref="A52" r:id="rId52"/>
    <hyperlink ref="A53" r:id="rId53"/>
    <hyperlink ref="A54" r:id="rId54"/>
    <hyperlink ref="A55" r:id="rId55"/>
    <hyperlink ref="A56" r:id="rId56"/>
    <hyperlink ref="A57" r:id="rId57"/>
    <hyperlink ref="A58" r:id="rId58"/>
    <hyperlink ref="A59" r:id="rId59"/>
    <hyperlink ref="A60" r:id="rId60"/>
    <hyperlink ref="A61" r:id="rId61"/>
    <hyperlink ref="A62" r:id="rId62"/>
    <hyperlink ref="A63" r:id="rId63"/>
    <hyperlink ref="A64" r:id="rId64"/>
    <hyperlink ref="A65" r:id="rId65"/>
    <hyperlink ref="A66" r:id="rId66"/>
    <hyperlink ref="A67" r:id="rId67"/>
    <hyperlink ref="A68" r:id="rId68"/>
    <hyperlink ref="A69" r:id="rId69"/>
    <hyperlink ref="A70" r:id="rId70"/>
    <hyperlink ref="A71" r:id="rId71"/>
    <hyperlink ref="A72" r:id="rId72"/>
    <hyperlink ref="A73" r:id="rId73"/>
    <hyperlink ref="A74" r:id="rId74"/>
    <hyperlink ref="A75" r:id="rId75"/>
    <hyperlink ref="A76" r:id="rId76"/>
    <hyperlink ref="A77" r:id="rId77"/>
    <hyperlink ref="A78" r:id="rId78"/>
    <hyperlink ref="A79" r:id="rId79"/>
    <hyperlink ref="A80" r:id="rId80"/>
    <hyperlink ref="A81" r:id="rId81"/>
    <hyperlink ref="A82" r:id="rId82"/>
    <hyperlink ref="A83" r:id="rId83"/>
    <hyperlink ref="A84" r:id="rId84"/>
    <hyperlink ref="A85" r:id="rId85"/>
    <hyperlink ref="A86" r:id="rId86"/>
    <hyperlink ref="A87" r:id="rId87"/>
    <hyperlink ref="A88" r:id="rId88"/>
    <hyperlink ref="A89" r:id="rId89"/>
    <hyperlink ref="A90" r:id="rId90"/>
    <hyperlink ref="A91" r:id="rId91"/>
    <hyperlink ref="A92" r:id="rId92"/>
    <hyperlink ref="A93" r:id="rId93"/>
    <hyperlink ref="A94" r:id="rId94"/>
    <hyperlink ref="A95" r:id="rId95"/>
    <hyperlink ref="A96" r:id="rId96"/>
    <hyperlink ref="A97" r:id="rId97"/>
    <hyperlink ref="A98" r:id="rId98"/>
    <hyperlink ref="A99" r:id="rId99"/>
    <hyperlink ref="A100" r:id="rId100"/>
    <hyperlink ref="A101" r:id="rId101"/>
    <hyperlink ref="A102" r:id="rId102"/>
    <hyperlink ref="A103" r:id="rId103"/>
    <hyperlink ref="A104" r:id="rId104"/>
    <hyperlink ref="A105" r:id="rId105"/>
    <hyperlink ref="A106" r:id="rId106"/>
    <hyperlink ref="A107" r:id="rId107"/>
    <hyperlink ref="A108" r:id="rId108"/>
    <hyperlink ref="A109" r:id="rId109"/>
    <hyperlink ref="A110" r:id="rId110"/>
    <hyperlink ref="A111" r:id="rId111"/>
    <hyperlink ref="A112" r:id="rId112"/>
    <hyperlink ref="A113" r:id="rId113"/>
    <hyperlink ref="A114" r:id="rId114"/>
    <hyperlink ref="A115" r:id="rId115"/>
    <hyperlink ref="A116" r:id="rId116"/>
    <hyperlink ref="A117" r:id="rId117"/>
    <hyperlink ref="A118" r:id="rId118"/>
    <hyperlink ref="A119" r:id="rId119"/>
    <hyperlink ref="A120" r:id="rId120"/>
    <hyperlink ref="A121" r:id="rId121"/>
    <hyperlink ref="A122" r:id="rId122"/>
    <hyperlink ref="A123" r:id="rId123"/>
    <hyperlink ref="A124" r:id="rId124"/>
    <hyperlink ref="A125" r:id="rId125"/>
    <hyperlink ref="A126" r:id="rId126"/>
    <hyperlink ref="A127" r:id="rId127"/>
    <hyperlink ref="A128" r:id="rId128"/>
    <hyperlink ref="A129" r:id="rId129"/>
    <hyperlink ref="A130" r:id="rId130"/>
    <hyperlink ref="A131" r:id="rId131"/>
    <hyperlink ref="A132" r:id="rId132"/>
    <hyperlink ref="A133" r:id="rId133"/>
    <hyperlink ref="A134" r:id="rId134"/>
    <hyperlink ref="A135" r:id="rId135"/>
    <hyperlink ref="A136" r:id="rId136"/>
    <hyperlink ref="A137" r:id="rId137"/>
    <hyperlink ref="A138" r:id="rId138"/>
    <hyperlink ref="A139" r:id="rId139"/>
    <hyperlink ref="A140" r:id="rId140"/>
    <hyperlink ref="A141" r:id="rId141"/>
    <hyperlink ref="A142" r:id="rId142"/>
    <hyperlink ref="A143" r:id="rId143"/>
    <hyperlink ref="A144" r:id="rId144"/>
    <hyperlink ref="A145" r:id="rId145"/>
    <hyperlink ref="A146" r:id="rId146"/>
    <hyperlink ref="A147" r:id="rId147"/>
    <hyperlink ref="A148" r:id="rId148"/>
    <hyperlink ref="A149" r:id="rId149" location="gid=58251827" display="https://docs.google.com/spreadsheets/d/1YoRhvIyEnnM8PNWDB1dRu279pTIeFMVqCAuX5KTXSuU/edit - gid=58251827"/>
    <hyperlink ref="A152" r:id="rId150"/>
    <hyperlink ref="A153" r:id="rId151"/>
    <hyperlink ref="A154" r:id="rId152"/>
    <hyperlink ref="A155" r:id="rId153"/>
    <hyperlink ref="A156" r:id="rId154"/>
    <hyperlink ref="A157" r:id="rId155"/>
    <hyperlink ref="A159" r:id="rId156"/>
    <hyperlink ref="A160" r:id="rId157"/>
    <hyperlink ref="A161" r:id="rId158"/>
    <hyperlink ref="A163" r:id="rId159"/>
    <hyperlink ref="A164" r:id="rId160"/>
    <hyperlink ref="A166" r:id="rId161"/>
    <hyperlink ref="A167" r:id="rId162"/>
    <hyperlink ref="A168" r:id="rId163"/>
    <hyperlink ref="A169" r:id="rId164"/>
    <hyperlink ref="A170" r:id="rId165"/>
    <hyperlink ref="A171" r:id="rId166"/>
    <hyperlink ref="A172" r:id="rId167"/>
    <hyperlink ref="A173" r:id="rId168"/>
    <hyperlink ref="A174" r:id="rId169"/>
    <hyperlink ref="A175" r:id="rId170"/>
    <hyperlink ref="A176" r:id="rId171"/>
    <hyperlink ref="A177" r:id="rId172"/>
    <hyperlink ref="A178" r:id="rId173" location="vtxt_cuerpo_T0" display="http://www.cooperativa.cl/noticias/pais/policial/mujer-fue-encontrada-muerta-junto-a-su-hija-de-un-ano-en-vina-del-mar/2017-08-28/112209.html - vtxt_cuerpo_T0"/>
    <hyperlink ref="A179" r:id="rId174"/>
    <hyperlink ref="A180" r:id="rId175"/>
    <hyperlink ref="A181" r:id="rId176"/>
    <hyperlink ref="A182" r:id="rId177"/>
    <hyperlink ref="A183" r:id="rId178"/>
    <hyperlink ref="A184" r:id="rId179" display="http://www.latercera.com/noticia/mujer-venezolana-la-quinta-extranjera-victima-femicidio/"/>
    <hyperlink ref="A185" r:id="rId180"/>
    <hyperlink ref="A186" r:id="rId181"/>
    <hyperlink ref="A187" r:id="rId182"/>
    <hyperlink ref="A188" r:id="rId183"/>
    <hyperlink ref="A189" r:id="rId184"/>
    <hyperlink ref="A190" r:id="rId185"/>
    <hyperlink ref="A191" r:id="rId186"/>
    <hyperlink ref="A192" r:id="rId187"/>
    <hyperlink ref="A193" r:id="rId188"/>
    <hyperlink ref="A194" r:id="rId189"/>
    <hyperlink ref="A195" r:id="rId190"/>
    <hyperlink ref="A196" r:id="rId191"/>
    <hyperlink ref="A197" r:id="rId192"/>
    <hyperlink ref="A198" r:id="rId193"/>
    <hyperlink ref="A199" r:id="rId194"/>
    <hyperlink ref="A200" r:id="rId195"/>
    <hyperlink ref="A201" r:id="rId196"/>
    <hyperlink ref="A202" r:id="rId197"/>
    <hyperlink ref="A203" r:id="rId198"/>
    <hyperlink ref="A204" r:id="rId199"/>
    <hyperlink ref="A205" r:id="rId200"/>
    <hyperlink ref="A206" r:id="rId201"/>
    <hyperlink ref="A207" r:id="rId202"/>
    <hyperlink ref="A208" r:id="rId203"/>
    <hyperlink ref="A209" r:id="rId204"/>
    <hyperlink ref="A210" r:id="rId205"/>
    <hyperlink ref="A211" r:id="rId206"/>
    <hyperlink ref="A212" r:id="rId207"/>
    <hyperlink ref="A213" r:id="rId208"/>
    <hyperlink ref="A214" r:id="rId209"/>
    <hyperlink ref="A215" r:id="rId210"/>
    <hyperlink ref="A216" r:id="rId211" display="http://portal.sernam.cl/img/upoloads/FEMICIDIOS 2016 al 10 de enero.pdf"/>
    <hyperlink ref="A217" r:id="rId212"/>
    <hyperlink ref="A218" r:id="rId213"/>
    <hyperlink ref="A219" r:id="rId214"/>
    <hyperlink ref="A220" r:id="rId215"/>
    <hyperlink ref="A221" r:id="rId216"/>
    <hyperlink ref="A222" r:id="rId217"/>
    <hyperlink ref="A223" r:id="rId218" display="https://portal.sernam.cl/img/upoloads/FEMICIDIOS 2016 al 7_02(1).pdf"/>
    <hyperlink ref="A224" r:id="rId219"/>
    <hyperlink ref="A225" r:id="rId220"/>
    <hyperlink ref="A226" r:id="rId221"/>
    <hyperlink ref="A227" r:id="rId222"/>
    <hyperlink ref="A228" r:id="rId223"/>
    <hyperlink ref="A229" r:id="rId224"/>
    <hyperlink ref="A230" r:id="rId225"/>
    <hyperlink ref="A231" r:id="rId226"/>
    <hyperlink ref="A232" r:id="rId227"/>
    <hyperlink ref="A233" r:id="rId228"/>
    <hyperlink ref="A234" r:id="rId229"/>
    <hyperlink ref="A235" r:id="rId230"/>
    <hyperlink ref="A236" r:id="rId231"/>
    <hyperlink ref="A237" r:id="rId232"/>
    <hyperlink ref="A238" r:id="rId233"/>
    <hyperlink ref="A239" r:id="rId234"/>
    <hyperlink ref="A240" r:id="rId235"/>
    <hyperlink ref="A241" r:id="rId236"/>
    <hyperlink ref="A242" r:id="rId237"/>
    <hyperlink ref="A243" r:id="rId238"/>
    <hyperlink ref="A244" r:id="rId239"/>
    <hyperlink ref="A245" r:id="rId240"/>
    <hyperlink ref="A246" r:id="rId241"/>
    <hyperlink ref="A247" r:id="rId242"/>
    <hyperlink ref="A248" r:id="rId243"/>
    <hyperlink ref="A249" r:id="rId244"/>
    <hyperlink ref="A250" r:id="rId245"/>
    <hyperlink ref="A251" r:id="rId246"/>
    <hyperlink ref="A252" r:id="rId247"/>
    <hyperlink ref="A253" r:id="rId248"/>
    <hyperlink ref="A254" r:id="rId249"/>
    <hyperlink ref="A255" r:id="rId250"/>
    <hyperlink ref="A256" r:id="rId251"/>
    <hyperlink ref="A257" r:id="rId252"/>
    <hyperlink ref="A258" r:id="rId253"/>
    <hyperlink ref="A259" r:id="rId254"/>
    <hyperlink ref="A260" r:id="rId255"/>
    <hyperlink ref="A261" r:id="rId256"/>
    <hyperlink ref="A262" r:id="rId257"/>
    <hyperlink ref="A263" r:id="rId258"/>
    <hyperlink ref="A264" r:id="rId259"/>
    <hyperlink ref="A265" r:id="rId260"/>
    <hyperlink ref="A266" r:id="rId261"/>
    <hyperlink ref="A267" r:id="rId262"/>
    <hyperlink ref="A268" r:id="rId263"/>
    <hyperlink ref="A269" r:id="rId264"/>
    <hyperlink ref="A270" r:id="rId265"/>
    <hyperlink ref="A271" r:id="rId266"/>
    <hyperlink ref="A272" r:id="rId267"/>
    <hyperlink ref="A273" r:id="rId268"/>
    <hyperlink ref="A274" r:id="rId269"/>
    <hyperlink ref="A275" r:id="rId270"/>
    <hyperlink ref="A278" r:id="rId271"/>
    <hyperlink ref="A279" r:id="rId272"/>
    <hyperlink ref="A280" r:id="rId273"/>
    <hyperlink ref="A281" r:id="rId274"/>
    <hyperlink ref="A282" r:id="rId275"/>
    <hyperlink ref="A283" r:id="rId276"/>
    <hyperlink ref="A284" r:id="rId277"/>
    <hyperlink ref="A285" r:id="rId278"/>
    <hyperlink ref="A286" r:id="rId279"/>
    <hyperlink ref="A287" r:id="rId280"/>
    <hyperlink ref="A288" r:id="rId281"/>
    <hyperlink ref="A289" r:id="rId282"/>
    <hyperlink ref="A290" r:id="rId283"/>
    <hyperlink ref="A291" r:id="rId284"/>
    <hyperlink ref="A292" r:id="rId285"/>
    <hyperlink ref="A293" r:id="rId286"/>
    <hyperlink ref="A294" r:id="rId287"/>
    <hyperlink ref="A295" r:id="rId288"/>
    <hyperlink ref="A296" r:id="rId289"/>
    <hyperlink ref="A297" r:id="rId290"/>
    <hyperlink ref="A298" r:id="rId291"/>
    <hyperlink ref="A299" r:id="rId292"/>
    <hyperlink ref="A300" r:id="rId293"/>
    <hyperlink ref="A301" r:id="rId294"/>
    <hyperlink ref="A302" r:id="rId295"/>
    <hyperlink ref="A303" r:id="rId296"/>
    <hyperlink ref="A304" r:id="rId297"/>
    <hyperlink ref="A305" r:id="rId298"/>
    <hyperlink ref="A306" r:id="rId299"/>
    <hyperlink ref="A307" r:id="rId300"/>
    <hyperlink ref="A308" r:id="rId301"/>
    <hyperlink ref="A309" r:id="rId302"/>
    <hyperlink ref="A310" r:id="rId303"/>
    <hyperlink ref="A311" r:id="rId304"/>
    <hyperlink ref="A312" r:id="rId305"/>
    <hyperlink ref="A313" r:id="rId306"/>
    <hyperlink ref="A314" r:id="rId307"/>
    <hyperlink ref="A315" r:id="rId308"/>
    <hyperlink ref="A316" r:id="rId309"/>
    <hyperlink ref="A317" r:id="rId310"/>
    <hyperlink ref="A318" r:id="rId311"/>
    <hyperlink ref="A319" r:id="rId312"/>
    <hyperlink ref="A320" r:id="rId313"/>
    <hyperlink ref="A321" r:id="rId314"/>
    <hyperlink ref="A322" r:id="rId315"/>
    <hyperlink ref="A323" r:id="rId316"/>
    <hyperlink ref="A324" r:id="rId317"/>
    <hyperlink ref="A325" r:id="rId318"/>
    <hyperlink ref="A326" r:id="rId319"/>
    <hyperlink ref="A327" r:id="rId320"/>
    <hyperlink ref="A328" r:id="rId321"/>
    <hyperlink ref="A329" r:id="rId322"/>
    <hyperlink ref="A330" r:id="rId323"/>
    <hyperlink ref="A331" r:id="rId324"/>
    <hyperlink ref="A332" r:id="rId325"/>
    <hyperlink ref="A333" r:id="rId326"/>
    <hyperlink ref="A334" r:id="rId327"/>
    <hyperlink ref="A335" r:id="rId328"/>
    <hyperlink ref="A336" r:id="rId329"/>
    <hyperlink ref="A337" r:id="rId330"/>
    <hyperlink ref="A338" r:id="rId331"/>
    <hyperlink ref="A339" r:id="rId332"/>
    <hyperlink ref="A340" r:id="rId333"/>
    <hyperlink ref="A341" r:id="rId334"/>
    <hyperlink ref="A342" r:id="rId335"/>
    <hyperlink ref="A343" r:id="rId336"/>
    <hyperlink ref="A344" r:id="rId337"/>
    <hyperlink ref="A345" r:id="rId338"/>
    <hyperlink ref="A346" r:id="rId339"/>
    <hyperlink ref="A347" r:id="rId340"/>
    <hyperlink ref="A348" r:id="rId341"/>
    <hyperlink ref="A349" r:id="rId342"/>
    <hyperlink ref="A350" r:id="rId343"/>
    <hyperlink ref="A351" r:id="rId344"/>
    <hyperlink ref="A352" r:id="rId345" location="OP" display="https://www.laopinion.com.co/mundo/colombiana-fue-asesinada-por-su-esposo-en-una-notaria-de-chile-120784 - OP"/>
    <hyperlink ref="A353" r:id="rId346"/>
    <hyperlink ref="A354" r:id="rId347"/>
    <hyperlink ref="A355" r:id="rId348"/>
    <hyperlink ref="A356" r:id="rId349"/>
    <hyperlink ref="A357" r:id="rId350"/>
    <hyperlink ref="A358" r:id="rId351"/>
    <hyperlink ref="A359" r:id="rId352"/>
    <hyperlink ref="A360" r:id="rId353"/>
    <hyperlink ref="A361" r:id="rId354"/>
    <hyperlink ref="A362" r:id="rId355"/>
    <hyperlink ref="A363" r:id="rId356"/>
    <hyperlink ref="A364" r:id="rId357"/>
    <hyperlink ref="A366" r:id="rId358"/>
    <hyperlink ref="A367" r:id="rId359"/>
    <hyperlink ref="A368" r:id="rId360"/>
    <hyperlink ref="A369" r:id="rId361"/>
    <hyperlink ref="A370" r:id="rId362"/>
    <hyperlink ref="A371" r:id="rId363"/>
    <hyperlink ref="A372" r:id="rId364"/>
    <hyperlink ref="A373" r:id="rId365"/>
    <hyperlink ref="A374" r:id="rId366"/>
    <hyperlink ref="A375" r:id="rId367"/>
    <hyperlink ref="A376" r:id="rId368"/>
    <hyperlink ref="A377" r:id="rId369"/>
    <hyperlink ref="A378" r:id="rId370"/>
    <hyperlink ref="A379" r:id="rId371"/>
    <hyperlink ref="A380" r:id="rId372"/>
    <hyperlink ref="A381" r:id="rId373"/>
    <hyperlink ref="A382" r:id="rId374"/>
    <hyperlink ref="A383" r:id="rId375"/>
    <hyperlink ref="A384" r:id="rId376"/>
    <hyperlink ref="A385" r:id="rId377"/>
    <hyperlink ref="A386" r:id="rId378"/>
    <hyperlink ref="A387" r:id="rId379"/>
    <hyperlink ref="A388" r:id="rId380"/>
    <hyperlink ref="A389" r:id="rId38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00"/>
  <sheetViews>
    <sheetView zoomScale="57" zoomScaleNormal="57" workbookViewId="0">
      <selection activeCell="J3" sqref="J3"/>
    </sheetView>
  </sheetViews>
  <sheetFormatPr baseColWidth="10" defaultRowHeight="15"/>
  <cols>
    <col min="1" max="1" width="24.85546875" customWidth="1"/>
  </cols>
  <sheetData>
    <row r="1" spans="1:28" ht="24" thickBot="1">
      <c r="A1" s="7" t="s">
        <v>389</v>
      </c>
      <c r="B1" s="8" t="s">
        <v>390</v>
      </c>
      <c r="C1" s="8" t="s">
        <v>391</v>
      </c>
      <c r="D1" s="8" t="s">
        <v>392</v>
      </c>
      <c r="E1" s="8" t="s">
        <v>596</v>
      </c>
      <c r="F1" s="8" t="s">
        <v>393</v>
      </c>
      <c r="G1" s="8" t="s">
        <v>394</v>
      </c>
      <c r="H1" s="8" t="s">
        <v>395</v>
      </c>
      <c r="I1" s="8" t="s">
        <v>396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</row>
    <row r="2" spans="1:28" ht="30.75" thickBot="1">
      <c r="A2" s="10" t="str">
        <f>CONCATENATE(C2,E2,H2)</f>
        <v>IPeralta63</v>
      </c>
      <c r="B2" s="12" t="s">
        <v>397</v>
      </c>
      <c r="C2" s="12" t="s">
        <v>398</v>
      </c>
      <c r="D2" s="12" t="s">
        <v>399</v>
      </c>
      <c r="E2" s="12" t="str">
        <f>MID(D2,1,FIND(" ",D2,1)-1)</f>
        <v>Peralta</v>
      </c>
      <c r="F2" s="12" t="s">
        <v>400</v>
      </c>
      <c r="G2" s="12" t="s">
        <v>401</v>
      </c>
      <c r="H2" s="13">
        <v>63</v>
      </c>
      <c r="I2" s="12" t="s">
        <v>402</v>
      </c>
      <c r="J2" s="17" t="str">
        <f>"INSERT INTO victima (idVictima, Nombre, Apellido, Edad, Ocupacion, Nacionalidad) VALUES (' "&amp;A2&amp;" ',' "&amp;B2&amp;" ', ' "&amp;E2&amp;" ', "&amp;H2&amp;",' "&amp;G2&amp;" ',' "&amp;I2&amp;" '); "</f>
        <v xml:space="preserve">INSERT INTO victima (idVictima, Nombre, Apellido, Edad, Ocupacion, Nacionalidad) VALUES (' IPeralta63 ',' Iris ', ' Peralta ', 63,' ND ',' Chilena '); </v>
      </c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28" ht="30.75" thickBot="1">
      <c r="A3" s="10" t="str">
        <f t="shared" ref="A3:A66" si="0">CONCATENATE(C3,E3,H3)</f>
        <v>SNinaja0</v>
      </c>
      <c r="B3" s="12" t="s">
        <v>403</v>
      </c>
      <c r="C3" s="12" t="s">
        <v>404</v>
      </c>
      <c r="D3" s="12" t="s">
        <v>405</v>
      </c>
      <c r="E3" s="12" t="str">
        <f t="shared" ref="E3:E64" si="1">MID(D3,1,FIND(" ",D3,1)-1)</f>
        <v>Ninaja</v>
      </c>
      <c r="F3" s="12" t="s">
        <v>406</v>
      </c>
      <c r="G3" s="12" t="s">
        <v>401</v>
      </c>
      <c r="H3" s="12">
        <v>0</v>
      </c>
      <c r="I3" s="12" t="s">
        <v>407</v>
      </c>
      <c r="J3" s="17" t="str">
        <f>"INSERT INTO victima (idVictima, Nombre, Apellido, Edad, Ocupacion, Nacionalidad) VALUES (' "&amp;A3&amp;" ',' "&amp;B3&amp;" ', ' "&amp;E3&amp;" ', "&amp;H3&amp;",' "&amp;G3&amp;" ',' "&amp;I3&amp;" '); "</f>
        <v xml:space="preserve">INSERT INTO victima (idVictima, Nombre, Apellido, Edad, Ocupacion, Nacionalidad) VALUES (' SNinaja0 ',' Silvia ', ' Ninaja ', 0,' ND ',' Boliviana '); 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</row>
    <row r="4" spans="1:28" ht="30.75" thickBot="1">
      <c r="A4" s="10" t="str">
        <f t="shared" si="0"/>
        <v>LHurtado49</v>
      </c>
      <c r="B4" s="12" t="s">
        <v>408</v>
      </c>
      <c r="C4" s="12" t="s">
        <v>409</v>
      </c>
      <c r="D4" s="12" t="s">
        <v>410</v>
      </c>
      <c r="E4" s="12" t="str">
        <f t="shared" si="1"/>
        <v>Hurtado</v>
      </c>
      <c r="F4" s="12" t="s">
        <v>411</v>
      </c>
      <c r="G4" s="12" t="s">
        <v>401</v>
      </c>
      <c r="H4" s="13">
        <v>49</v>
      </c>
      <c r="I4" s="12" t="s">
        <v>412</v>
      </c>
      <c r="J4" s="17" t="str">
        <f t="shared" ref="J4:J67" si="2">"INSERT INTO victima (idVictima, Nombre, Apellido, Edad, Ocupacion, Nacionalidad) VALUES (' "&amp;A4&amp;" ',' "&amp;B4&amp;" ', ' "&amp;E4&amp;" ', "&amp;H4&amp;",' "&amp;G4&amp;" ',' "&amp;I4&amp;" '); "</f>
        <v xml:space="preserve">INSERT INTO victima (idVictima, Nombre, Apellido, Edad, Ocupacion, Nacionalidad) VALUES (' LHurtado49 ',' Liliana ', ' Hurtado ', 49,' ND ',' Colombiana '); 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</row>
    <row r="5" spans="1:28" ht="30.75" thickBot="1">
      <c r="A5" s="10" t="str">
        <f t="shared" si="0"/>
        <v>CVásquez43</v>
      </c>
      <c r="B5" s="12" t="s">
        <v>413</v>
      </c>
      <c r="C5" s="12" t="s">
        <v>414</v>
      </c>
      <c r="D5" s="12" t="s">
        <v>415</v>
      </c>
      <c r="E5" s="12" t="str">
        <f t="shared" si="1"/>
        <v>Vásquez</v>
      </c>
      <c r="F5" s="12" t="s">
        <v>416</v>
      </c>
      <c r="G5" s="12" t="s">
        <v>401</v>
      </c>
      <c r="H5" s="13">
        <v>43</v>
      </c>
      <c r="I5" s="12" t="s">
        <v>402</v>
      </c>
      <c r="J5" s="17" t="str">
        <f t="shared" si="2"/>
        <v xml:space="preserve">INSERT INTO victima (idVictima, Nombre, Apellido, Edad, Ocupacion, Nacionalidad) VALUES (' CVásquez43 ',' Carmen Mónica ', ' Vásquez ', 43,' ND ',' Chilena '); 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</row>
    <row r="6" spans="1:28" ht="30.75" thickBot="1">
      <c r="A6" s="10" t="str">
        <f t="shared" si="0"/>
        <v>MGormáz26</v>
      </c>
      <c r="B6" s="12" t="s">
        <v>417</v>
      </c>
      <c r="C6" s="12" t="s">
        <v>418</v>
      </c>
      <c r="D6" s="12" t="s">
        <v>419</v>
      </c>
      <c r="E6" s="12" t="str">
        <f t="shared" si="1"/>
        <v>Gormáz</v>
      </c>
      <c r="F6" s="12" t="s">
        <v>420</v>
      </c>
      <c r="G6" s="12" t="s">
        <v>401</v>
      </c>
      <c r="H6" s="13">
        <v>26</v>
      </c>
      <c r="I6" s="12" t="s">
        <v>402</v>
      </c>
      <c r="J6" s="17" t="str">
        <f t="shared" si="2"/>
        <v xml:space="preserve">INSERT INTO victima (idVictima, Nombre, Apellido, Edad, Ocupacion, Nacionalidad) VALUES (' MGormáz26 ',' Maribel del Carmen ', ' Gormáz ', 26,' ND ',' Chilena '); 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</row>
    <row r="7" spans="1:28" ht="15.75" thickBot="1">
      <c r="A7" s="10" t="str">
        <f t="shared" si="0"/>
        <v>YFigueroa20</v>
      </c>
      <c r="B7" s="14" t="s">
        <v>421</v>
      </c>
      <c r="C7" s="12" t="s">
        <v>422</v>
      </c>
      <c r="D7" s="12" t="s">
        <v>423</v>
      </c>
      <c r="E7" s="12" t="s">
        <v>423</v>
      </c>
      <c r="F7" s="12" t="s">
        <v>424</v>
      </c>
      <c r="G7" s="12" t="s">
        <v>401</v>
      </c>
      <c r="H7" s="15">
        <v>20</v>
      </c>
      <c r="I7" s="14" t="s">
        <v>402</v>
      </c>
      <c r="J7" s="17" t="str">
        <f t="shared" si="2"/>
        <v xml:space="preserve">INSERT INTO victima (idVictima, Nombre, Apellido, Edad, Ocupacion, Nacionalidad) VALUES (' YFigueroa20 ',' Yaritza ', ' Figueroa ', 20,' ND ',' Chilena '); 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ht="30.75" thickBot="1">
      <c r="A8" s="10" t="str">
        <f t="shared" si="0"/>
        <v>ARiquelme34</v>
      </c>
      <c r="B8" s="12" t="s">
        <v>425</v>
      </c>
      <c r="C8" s="12" t="s">
        <v>426</v>
      </c>
      <c r="D8" s="12" t="s">
        <v>427</v>
      </c>
      <c r="E8" s="12" t="str">
        <f t="shared" si="1"/>
        <v>Riquelme</v>
      </c>
      <c r="F8" s="12" t="s">
        <v>428</v>
      </c>
      <c r="G8" s="12" t="s">
        <v>401</v>
      </c>
      <c r="H8" s="13">
        <v>34</v>
      </c>
      <c r="I8" s="12" t="s">
        <v>402</v>
      </c>
      <c r="J8" s="17" t="str">
        <f t="shared" si="2"/>
        <v xml:space="preserve">INSERT INTO victima (idVictima, Nombre, Apellido, Edad, Ocupacion, Nacionalidad) VALUES (' ARiquelme34 ',' Andrea del Pilar ', ' Riquelme ', 34,' ND ',' Chilena '); 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</row>
    <row r="9" spans="1:28" ht="30.75" thickBot="1">
      <c r="A9" s="10" t="str">
        <f t="shared" si="0"/>
        <v>GRioseco24</v>
      </c>
      <c r="B9" s="12" t="s">
        <v>429</v>
      </c>
      <c r="C9" s="12" t="s">
        <v>420</v>
      </c>
      <c r="D9" s="12" t="s">
        <v>430</v>
      </c>
      <c r="E9" s="12" t="str">
        <f t="shared" si="1"/>
        <v>Rioseco</v>
      </c>
      <c r="F9" s="12" t="s">
        <v>428</v>
      </c>
      <c r="G9" s="12" t="s">
        <v>401</v>
      </c>
      <c r="H9" s="13">
        <v>24</v>
      </c>
      <c r="I9" s="12" t="s">
        <v>402</v>
      </c>
      <c r="J9" s="17" t="str">
        <f t="shared" si="2"/>
        <v xml:space="preserve">INSERT INTO victima (idVictima, Nombre, Apellido, Edad, Ocupacion, Nacionalidad) VALUES (' GRioseco24 ',' Giannina ', ' Rioseco ', 24,' ND ',' Chilena '); 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</row>
    <row r="10" spans="1:28" ht="15.75" thickBot="1">
      <c r="A10" s="10" t="str">
        <f t="shared" si="0"/>
        <v>ALagos32</v>
      </c>
      <c r="B10" s="12" t="s">
        <v>431</v>
      </c>
      <c r="C10" s="12" t="s">
        <v>426</v>
      </c>
      <c r="D10" s="12" t="s">
        <v>432</v>
      </c>
      <c r="E10" s="12" t="s">
        <v>432</v>
      </c>
      <c r="F10" s="12" t="s">
        <v>409</v>
      </c>
      <c r="G10" s="12" t="s">
        <v>401</v>
      </c>
      <c r="H10" s="13">
        <v>32</v>
      </c>
      <c r="I10" s="12" t="s">
        <v>402</v>
      </c>
      <c r="J10" s="17" t="str">
        <f t="shared" si="2"/>
        <v xml:space="preserve">INSERT INTO victima (idVictima, Nombre, Apellido, Edad, Ocupacion, Nacionalidad) VALUES (' ALagos32 ',' Amparo ', ' Lagos ', 32,' ND ',' Chilena '); 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</row>
    <row r="11" spans="1:28" ht="30.75" thickBot="1">
      <c r="A11" s="10" t="str">
        <f t="shared" si="0"/>
        <v>RErices35</v>
      </c>
      <c r="B11" s="12" t="s">
        <v>433</v>
      </c>
      <c r="C11" s="12" t="s">
        <v>428</v>
      </c>
      <c r="D11" s="12" t="s">
        <v>434</v>
      </c>
      <c r="E11" s="12" t="str">
        <f t="shared" si="1"/>
        <v>Erices</v>
      </c>
      <c r="F11" s="12" t="s">
        <v>435</v>
      </c>
      <c r="G11" s="12" t="s">
        <v>401</v>
      </c>
      <c r="H11" s="13">
        <v>35</v>
      </c>
      <c r="I11" s="12" t="s">
        <v>402</v>
      </c>
      <c r="J11" s="17" t="str">
        <f t="shared" si="2"/>
        <v xml:space="preserve">INSERT INTO victima (idVictima, Nombre, Apellido, Edad, Ocupacion, Nacionalidad) VALUES (' RErices35 ',' Ruth María ', ' Erices ', 35,' ND ',' Chilena '); 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</row>
    <row r="12" spans="1:28" ht="30.75" thickBot="1">
      <c r="A12" s="10" t="str">
        <f t="shared" si="0"/>
        <v>NBeroíza48</v>
      </c>
      <c r="B12" s="12" t="s">
        <v>436</v>
      </c>
      <c r="C12" s="12" t="s">
        <v>406</v>
      </c>
      <c r="D12" s="12" t="s">
        <v>437</v>
      </c>
      <c r="E12" s="12" t="str">
        <f t="shared" si="1"/>
        <v>Beroíza</v>
      </c>
      <c r="F12" s="12" t="s">
        <v>438</v>
      </c>
      <c r="G12" s="12" t="s">
        <v>401</v>
      </c>
      <c r="H12" s="13">
        <v>48</v>
      </c>
      <c r="I12" s="12" t="s">
        <v>402</v>
      </c>
      <c r="J12" s="17" t="str">
        <f t="shared" si="2"/>
        <v xml:space="preserve">INSERT INTO victima (idVictima, Nombre, Apellido, Edad, Ocupacion, Nacionalidad) VALUES (' NBeroíza48 ',' Noemí ', ' Beroíza ', 48,' ND ',' Chilena '); 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</row>
    <row r="13" spans="1:28" ht="30.75" thickBot="1">
      <c r="A13" s="10" t="str">
        <f t="shared" si="0"/>
        <v>REinfalt58</v>
      </c>
      <c r="B13" s="12" t="s">
        <v>439</v>
      </c>
      <c r="C13" s="12" t="s">
        <v>428</v>
      </c>
      <c r="D13" s="12" t="s">
        <v>440</v>
      </c>
      <c r="E13" s="12" t="str">
        <f t="shared" si="1"/>
        <v>Einfalt</v>
      </c>
      <c r="F13" s="12" t="s">
        <v>435</v>
      </c>
      <c r="G13" s="12" t="s">
        <v>401</v>
      </c>
      <c r="H13" s="13">
        <v>58</v>
      </c>
      <c r="I13" s="12" t="s">
        <v>402</v>
      </c>
      <c r="J13" s="17" t="str">
        <f t="shared" si="2"/>
        <v xml:space="preserve">INSERT INTO victima (idVictima, Nombre, Apellido, Edad, Ocupacion, Nacionalidad) VALUES (' REinfalt58 ',' Raquel Edelmira ', ' Einfalt ', 58,' ND ',' Chilena '); 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</row>
    <row r="14" spans="1:28" ht="30.75" thickBot="1">
      <c r="A14" s="10" t="str">
        <f t="shared" si="0"/>
        <v>LCarrasco30</v>
      </c>
      <c r="B14" s="12" t="s">
        <v>441</v>
      </c>
      <c r="C14" s="12" t="s">
        <v>409</v>
      </c>
      <c r="D14" s="12" t="s">
        <v>442</v>
      </c>
      <c r="E14" s="12" t="str">
        <f t="shared" si="1"/>
        <v>Carrasco</v>
      </c>
      <c r="F14" s="12" t="s">
        <v>414</v>
      </c>
      <c r="G14" s="12" t="s">
        <v>401</v>
      </c>
      <c r="H14" s="13">
        <v>30</v>
      </c>
      <c r="I14" s="12" t="s">
        <v>402</v>
      </c>
      <c r="J14" s="17" t="str">
        <f t="shared" si="2"/>
        <v xml:space="preserve">INSERT INTO victima (idVictima, Nombre, Apellido, Edad, Ocupacion, Nacionalidad) VALUES (' LCarrasco30 ',' Lorena ', ' Carrasco ', 30,' ND ',' Chilena '); 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8" ht="30.75" thickBot="1">
      <c r="A15" s="10" t="str">
        <f t="shared" si="0"/>
        <v>PVillalobos43</v>
      </c>
      <c r="B15" s="12" t="s">
        <v>443</v>
      </c>
      <c r="C15" s="12" t="s">
        <v>400</v>
      </c>
      <c r="D15" s="12" t="s">
        <v>444</v>
      </c>
      <c r="E15" s="12" t="str">
        <f t="shared" si="1"/>
        <v>Villalobos</v>
      </c>
      <c r="F15" s="12" t="s">
        <v>416</v>
      </c>
      <c r="G15" s="12" t="s">
        <v>401</v>
      </c>
      <c r="H15" s="13">
        <v>43</v>
      </c>
      <c r="I15" s="12" t="s">
        <v>402</v>
      </c>
      <c r="J15" s="17" t="str">
        <f t="shared" si="2"/>
        <v xml:space="preserve">INSERT INTO victima (idVictima, Nombre, Apellido, Edad, Ocupacion, Nacionalidad) VALUES (' PVillalobos43 ',' Paola ', ' Villalobos ', 43,' ND ',' Chilena '); 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8" ht="30.75" thickBot="1">
      <c r="A16" s="10" t="str">
        <f t="shared" si="0"/>
        <v>CLecarios21</v>
      </c>
      <c r="B16" s="12" t="s">
        <v>445</v>
      </c>
      <c r="C16" s="12" t="s">
        <v>414</v>
      </c>
      <c r="D16" s="12" t="s">
        <v>446</v>
      </c>
      <c r="E16" s="12" t="str">
        <f t="shared" si="1"/>
        <v>Lecarios</v>
      </c>
      <c r="F16" s="12" t="s">
        <v>409</v>
      </c>
      <c r="G16" s="12" t="s">
        <v>447</v>
      </c>
      <c r="H16" s="13">
        <v>21</v>
      </c>
      <c r="I16" s="12" t="s">
        <v>402</v>
      </c>
      <c r="J16" s="17" t="str">
        <f t="shared" si="2"/>
        <v xml:space="preserve">INSERT INTO victima (idVictima, Nombre, Apellido, Edad, Ocupacion, Nacionalidad) VALUES (' CLecarios21 ',' Carolina Ignacia ', ' Lecarios ', 21,' Estudiante ',' Chilena '); 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</row>
    <row r="17" spans="1:28" ht="30.75" thickBot="1">
      <c r="A17" s="10" t="str">
        <f t="shared" si="0"/>
        <v>GGonzález39</v>
      </c>
      <c r="B17" s="12" t="s">
        <v>448</v>
      </c>
      <c r="C17" s="12" t="s">
        <v>420</v>
      </c>
      <c r="D17" s="12" t="s">
        <v>449</v>
      </c>
      <c r="E17" s="12" t="str">
        <f t="shared" si="1"/>
        <v>González</v>
      </c>
      <c r="F17" s="12" t="s">
        <v>420</v>
      </c>
      <c r="G17" s="12" t="s">
        <v>401</v>
      </c>
      <c r="H17" s="13">
        <v>39</v>
      </c>
      <c r="I17" s="12" t="s">
        <v>402</v>
      </c>
      <c r="J17" s="17" t="str">
        <f t="shared" si="2"/>
        <v xml:space="preserve">INSERT INTO victima (idVictima, Nombre, Apellido, Edad, Ocupacion, Nacionalidad) VALUES (' GGonzález39 ',' Gladys Adriana ', ' González ', 39,' ND ',' Chilena '); 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8" ht="30.75" thickBot="1">
      <c r="A18" s="10" t="str">
        <f t="shared" si="0"/>
        <v>MDroguett63</v>
      </c>
      <c r="B18" s="12" t="s">
        <v>450</v>
      </c>
      <c r="C18" s="12" t="s">
        <v>418</v>
      </c>
      <c r="D18" s="12" t="s">
        <v>451</v>
      </c>
      <c r="E18" s="12" t="str">
        <f t="shared" si="1"/>
        <v>Droguett</v>
      </c>
      <c r="F18" s="12" t="s">
        <v>452</v>
      </c>
      <c r="G18" s="12" t="s">
        <v>401</v>
      </c>
      <c r="H18" s="13">
        <v>63</v>
      </c>
      <c r="I18" s="12" t="s">
        <v>402</v>
      </c>
      <c r="J18" s="17" t="str">
        <f t="shared" si="2"/>
        <v xml:space="preserve">INSERT INTO victima (idVictima, Nombre, Apellido, Edad, Ocupacion, Nacionalidad) VALUES (' MDroguett63 ',' María Elena ', ' Droguett ', 63,' ND ',' Chilena '); 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</row>
    <row r="19" spans="1:28" ht="30.75" thickBot="1">
      <c r="A19" s="10" t="str">
        <f t="shared" si="0"/>
        <v>DMillahual25</v>
      </c>
      <c r="B19" s="12" t="s">
        <v>453</v>
      </c>
      <c r="C19" s="12" t="s">
        <v>452</v>
      </c>
      <c r="D19" s="12" t="s">
        <v>454</v>
      </c>
      <c r="E19" s="12" t="str">
        <f t="shared" si="1"/>
        <v>Millahual</v>
      </c>
      <c r="F19" s="12" t="s">
        <v>418</v>
      </c>
      <c r="G19" s="12" t="s">
        <v>401</v>
      </c>
      <c r="H19" s="13">
        <v>25</v>
      </c>
      <c r="I19" s="12" t="s">
        <v>402</v>
      </c>
      <c r="J19" s="17" t="str">
        <f t="shared" si="2"/>
        <v xml:space="preserve">INSERT INTO victima (idVictima, Nombre, Apellido, Edad, Ocupacion, Nacionalidad) VALUES (' DMillahual25 ',' Daisy Ester ', ' Millahual ', 25,' ND ',' Chilena '); 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</row>
    <row r="20" spans="1:28" ht="30.75" thickBot="1">
      <c r="A20" s="10" t="str">
        <f t="shared" si="0"/>
        <v>ACepeda60</v>
      </c>
      <c r="B20" s="12" t="s">
        <v>455</v>
      </c>
      <c r="C20" s="12" t="s">
        <v>426</v>
      </c>
      <c r="D20" s="12" t="s">
        <v>456</v>
      </c>
      <c r="E20" s="12" t="str">
        <f t="shared" si="1"/>
        <v>Cepeda</v>
      </c>
      <c r="F20" s="12" t="s">
        <v>414</v>
      </c>
      <c r="G20" s="12" t="s">
        <v>401</v>
      </c>
      <c r="H20" s="13">
        <v>60</v>
      </c>
      <c r="I20" s="12" t="s">
        <v>402</v>
      </c>
      <c r="J20" s="17" t="str">
        <f t="shared" si="2"/>
        <v xml:space="preserve">INSERT INTO victima (idVictima, Nombre, Apellido, Edad, Ocupacion, Nacionalidad) VALUES (' ACepeda60 ',' Alicia ', ' Cepeda ', 60,' ND ',' Chilena '); 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28" ht="30.75" thickBot="1">
      <c r="A21" s="10" t="str">
        <f t="shared" si="0"/>
        <v>MPonce20</v>
      </c>
      <c r="B21" s="12" t="s">
        <v>457</v>
      </c>
      <c r="C21" s="12" t="s">
        <v>418</v>
      </c>
      <c r="D21" s="12" t="s">
        <v>458</v>
      </c>
      <c r="E21" s="12" t="str">
        <f t="shared" si="1"/>
        <v>Ponce</v>
      </c>
      <c r="F21" s="12" t="s">
        <v>400</v>
      </c>
      <c r="G21" s="12" t="s">
        <v>401</v>
      </c>
      <c r="H21" s="13">
        <v>20</v>
      </c>
      <c r="I21" s="12" t="s">
        <v>402</v>
      </c>
      <c r="J21" s="17" t="str">
        <f t="shared" si="2"/>
        <v xml:space="preserve">INSERT INTO victima (idVictima, Nombre, Apellido, Edad, Ocupacion, Nacionalidad) VALUES (' MPonce20 ',' Magyory Araceli ', ' Ponce ', 20,' ND ',' Chilena '); 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28" ht="75.75" thickBot="1">
      <c r="A22" s="10" t="str">
        <f t="shared" si="0"/>
        <v>KMichea32</v>
      </c>
      <c r="B22" s="12" t="s">
        <v>459</v>
      </c>
      <c r="C22" s="12" t="s">
        <v>460</v>
      </c>
      <c r="D22" s="12" t="s">
        <v>461</v>
      </c>
      <c r="E22" s="12" t="str">
        <f t="shared" si="1"/>
        <v>Michea</v>
      </c>
      <c r="F22" s="12" t="s">
        <v>418</v>
      </c>
      <c r="G22" s="12" t="s">
        <v>401</v>
      </c>
      <c r="H22" s="13">
        <v>32</v>
      </c>
      <c r="I22" s="12" t="s">
        <v>402</v>
      </c>
      <c r="J22" s="17" t="str">
        <f t="shared" si="2"/>
        <v xml:space="preserve">INSERT INTO victima (idVictima, Nombre, Apellido, Edad, Ocupacion, Nacionalidad) VALUES (' KMichea32 ',' Karen Michea ', ' Michea ', 32,' ND ',' Chilena '); 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</row>
    <row r="23" spans="1:28" ht="45.75" thickBot="1">
      <c r="A23" s="10" t="str">
        <f t="shared" si="0"/>
        <v>JPallilef68</v>
      </c>
      <c r="B23" s="12" t="s">
        <v>462</v>
      </c>
      <c r="C23" s="12" t="s">
        <v>463</v>
      </c>
      <c r="D23" s="12" t="s">
        <v>464</v>
      </c>
      <c r="E23" s="12" t="str">
        <f t="shared" si="1"/>
        <v>Pallilef</v>
      </c>
      <c r="F23" s="12" t="s">
        <v>400</v>
      </c>
      <c r="G23" s="12" t="s">
        <v>401</v>
      </c>
      <c r="H23" s="13">
        <v>68</v>
      </c>
      <c r="I23" s="12" t="s">
        <v>402</v>
      </c>
      <c r="J23" s="17" t="str">
        <f t="shared" si="2"/>
        <v xml:space="preserve">INSERT INTO victima (idVictima, Nombre, Apellido, Edad, Ocupacion, Nacionalidad) VALUES (' JPallilef68 ',' Josefina ', ' Pallilef ', 68,' ND ',' Chilena '); 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</row>
    <row r="24" spans="1:28" ht="30.75" thickBot="1">
      <c r="A24" s="10" t="str">
        <f t="shared" si="0"/>
        <v>MSánchez40</v>
      </c>
      <c r="B24" s="12" t="s">
        <v>465</v>
      </c>
      <c r="C24" s="12" t="s">
        <v>418</v>
      </c>
      <c r="D24" s="12" t="s">
        <v>466</v>
      </c>
      <c r="E24" s="12" t="s">
        <v>466</v>
      </c>
      <c r="F24" s="12" t="s">
        <v>404</v>
      </c>
      <c r="G24" s="12" t="s">
        <v>401</v>
      </c>
      <c r="H24" s="13">
        <v>40</v>
      </c>
      <c r="I24" s="12" t="s">
        <v>402</v>
      </c>
      <c r="J24" s="17" t="str">
        <f t="shared" si="2"/>
        <v xml:space="preserve">INSERT INTO victima (idVictima, Nombre, Apellido, Edad, Ocupacion, Nacionalidad) VALUES (' MSánchez40 ',' María Julissa ', ' Sánchez ', 40,' ND ',' Chilena '); 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</row>
    <row r="25" spans="1:28" ht="30.75" thickBot="1">
      <c r="A25" s="10" t="str">
        <f t="shared" si="0"/>
        <v>RBravo36</v>
      </c>
      <c r="B25" s="12" t="s">
        <v>467</v>
      </c>
      <c r="C25" s="12" t="s">
        <v>428</v>
      </c>
      <c r="D25" s="12" t="s">
        <v>468</v>
      </c>
      <c r="E25" s="12" t="str">
        <f t="shared" si="1"/>
        <v>Bravo</v>
      </c>
      <c r="F25" s="12" t="s">
        <v>438</v>
      </c>
      <c r="G25" s="12" t="s">
        <v>401</v>
      </c>
      <c r="H25" s="13">
        <v>36</v>
      </c>
      <c r="I25" s="12" t="s">
        <v>402</v>
      </c>
      <c r="J25" s="17" t="str">
        <f t="shared" si="2"/>
        <v xml:space="preserve">INSERT INTO victima (idVictima, Nombre, Apellido, Edad, Ocupacion, Nacionalidad) VALUES (' RBravo36 ',' Roxana ', ' Bravo ', 36,' ND ',' Chilena '); 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</row>
    <row r="26" spans="1:28" ht="30.75" thickBot="1">
      <c r="A26" s="10" t="str">
        <f t="shared" si="0"/>
        <v>PVarela30</v>
      </c>
      <c r="B26" s="12" t="s">
        <v>469</v>
      </c>
      <c r="C26" s="12" t="s">
        <v>400</v>
      </c>
      <c r="D26" s="12" t="s">
        <v>470</v>
      </c>
      <c r="E26" s="12" t="str">
        <f t="shared" si="1"/>
        <v>Varela</v>
      </c>
      <c r="F26" s="12" t="s">
        <v>416</v>
      </c>
      <c r="G26" s="12" t="s">
        <v>471</v>
      </c>
      <c r="H26" s="13">
        <v>30</v>
      </c>
      <c r="I26" s="12" t="s">
        <v>402</v>
      </c>
      <c r="J26" s="17" t="str">
        <f t="shared" si="2"/>
        <v xml:space="preserve">INSERT INTO victima (idVictima, Nombre, Apellido, Edad, Ocupacion, Nacionalidad) VALUES (' PVarela30 ',' Paulina del Carmen ', ' Varela ', 30,' criminalista ',' Chilena '); 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</row>
    <row r="27" spans="1:28" ht="30.75" thickBot="1">
      <c r="A27" s="10" t="str">
        <f t="shared" si="0"/>
        <v>FRobledo43</v>
      </c>
      <c r="B27" s="12" t="s">
        <v>472</v>
      </c>
      <c r="C27" s="12" t="s">
        <v>424</v>
      </c>
      <c r="D27" s="12" t="s">
        <v>473</v>
      </c>
      <c r="E27" s="12" t="str">
        <f t="shared" si="1"/>
        <v>Robledo</v>
      </c>
      <c r="F27" s="12" t="s">
        <v>428</v>
      </c>
      <c r="G27" s="12" t="s">
        <v>401</v>
      </c>
      <c r="H27" s="13">
        <v>43</v>
      </c>
      <c r="I27" s="12" t="s">
        <v>402</v>
      </c>
      <c r="J27" s="17" t="str">
        <f t="shared" si="2"/>
        <v xml:space="preserve">INSERT INTO victima (idVictima, Nombre, Apellido, Edad, Ocupacion, Nacionalidad) VALUES (' FRobledo43 ',' Fidelina del Carmen ', ' Robledo ', 43,' ND ',' Chilena '); 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</row>
    <row r="28" spans="1:28" ht="30.75" thickBot="1">
      <c r="A28" s="10" t="str">
        <f t="shared" si="0"/>
        <v>YBravo32</v>
      </c>
      <c r="B28" s="12" t="s">
        <v>474</v>
      </c>
      <c r="C28" s="12" t="s">
        <v>422</v>
      </c>
      <c r="D28" s="12" t="s">
        <v>475</v>
      </c>
      <c r="E28" s="12" t="str">
        <f t="shared" si="1"/>
        <v>Bravo</v>
      </c>
      <c r="F28" s="12" t="s">
        <v>438</v>
      </c>
      <c r="G28" s="12" t="s">
        <v>401</v>
      </c>
      <c r="H28" s="13">
        <v>32</v>
      </c>
      <c r="I28" s="12" t="s">
        <v>402</v>
      </c>
      <c r="J28" s="17" t="str">
        <f t="shared" si="2"/>
        <v xml:space="preserve">INSERT INTO victima (idVictima, Nombre, Apellido, Edad, Ocupacion, Nacionalidad) VALUES (' YBravo32 ',' Yanina Francesca ', ' Bravo ', 32,' ND ',' Chilena '); 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</row>
    <row r="29" spans="1:28" ht="30.75" thickBot="1">
      <c r="A29" s="10" t="str">
        <f t="shared" si="0"/>
        <v>JSoto43</v>
      </c>
      <c r="B29" s="12" t="s">
        <v>476</v>
      </c>
      <c r="C29" s="12" t="s">
        <v>463</v>
      </c>
      <c r="D29" s="12" t="s">
        <v>477</v>
      </c>
      <c r="E29" s="12" t="str">
        <f t="shared" si="1"/>
        <v>Soto</v>
      </c>
      <c r="F29" s="12" t="s">
        <v>404</v>
      </c>
      <c r="G29" s="12" t="s">
        <v>401</v>
      </c>
      <c r="H29" s="13">
        <v>43</v>
      </c>
      <c r="I29" s="12" t="s">
        <v>402</v>
      </c>
      <c r="J29" s="17" t="str">
        <f t="shared" si="2"/>
        <v xml:space="preserve">INSERT INTO victima (idVictima, Nombre, Apellido, Edad, Ocupacion, Nacionalidad) VALUES (' JSoto43 ',' Jacqueline ', ' Soto ', 43,' ND ',' Chilena '); 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 ht="30.75" thickBot="1">
      <c r="A30" s="10" t="str">
        <f t="shared" si="0"/>
        <v>GOlivares22</v>
      </c>
      <c r="B30" s="12" t="s">
        <v>478</v>
      </c>
      <c r="C30" s="12" t="s">
        <v>420</v>
      </c>
      <c r="D30" s="12" t="s">
        <v>479</v>
      </c>
      <c r="E30" s="12" t="str">
        <f t="shared" si="1"/>
        <v>Olivares</v>
      </c>
      <c r="F30" s="12" t="s">
        <v>480</v>
      </c>
      <c r="G30" s="12" t="s">
        <v>401</v>
      </c>
      <c r="H30" s="13">
        <v>22</v>
      </c>
      <c r="I30" s="12" t="s">
        <v>402</v>
      </c>
      <c r="J30" s="17" t="str">
        <f t="shared" si="2"/>
        <v xml:space="preserve">INSERT INTO victima (idVictima, Nombre, Apellido, Edad, Ocupacion, Nacionalidad) VALUES (' GOlivares22 ',' Giselle Solange ', ' Olivares ', 22,' ND ',' Chilena '); 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</row>
    <row r="31" spans="1:28" ht="30.75" thickBot="1">
      <c r="A31" s="10" t="str">
        <f t="shared" si="0"/>
        <v>IGonzález22</v>
      </c>
      <c r="B31" s="12" t="s">
        <v>481</v>
      </c>
      <c r="C31" s="12" t="s">
        <v>398</v>
      </c>
      <c r="D31" s="12" t="s">
        <v>482</v>
      </c>
      <c r="E31" s="12" t="str">
        <f t="shared" si="1"/>
        <v>González</v>
      </c>
      <c r="F31" s="12" t="s">
        <v>420</v>
      </c>
      <c r="G31" s="12" t="s">
        <v>401</v>
      </c>
      <c r="H31" s="13">
        <v>22</v>
      </c>
      <c r="I31" s="12" t="s">
        <v>402</v>
      </c>
      <c r="J31" s="17" t="str">
        <f t="shared" si="2"/>
        <v xml:space="preserve">INSERT INTO victima (idVictima, Nombre, Apellido, Edad, Ocupacion, Nacionalidad) VALUES (' IGonzález22 ',' Isidora Karen ', ' González ', 22,' ND ',' Chilena '); 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</row>
    <row r="32" spans="1:28" ht="30.75" thickBot="1">
      <c r="A32" s="10" t="str">
        <f t="shared" si="0"/>
        <v>AAcosta27</v>
      </c>
      <c r="B32" s="12" t="s">
        <v>483</v>
      </c>
      <c r="C32" s="12" t="s">
        <v>426</v>
      </c>
      <c r="D32" s="12" t="s">
        <v>484</v>
      </c>
      <c r="E32" s="12" t="str">
        <f t="shared" si="1"/>
        <v>Acosta</v>
      </c>
      <c r="F32" s="12" t="s">
        <v>426</v>
      </c>
      <c r="G32" s="12" t="s">
        <v>485</v>
      </c>
      <c r="H32" s="13">
        <v>27</v>
      </c>
      <c r="I32" s="12" t="s">
        <v>402</v>
      </c>
      <c r="J32" s="17" t="str">
        <f t="shared" si="2"/>
        <v xml:space="preserve">INSERT INTO victima (idVictima, Nombre, Apellido, Edad, Ocupacion, Nacionalidad) VALUES (' AAcosta27 ',' Ana Lorena ', ' Acosta ', 27,' Educadora de Parbulos ',' Chilena '); 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</row>
    <row r="33" spans="1:28" ht="30.75" thickBot="1">
      <c r="A33" s="10" t="str">
        <f t="shared" si="0"/>
        <v>MHuertas36</v>
      </c>
      <c r="B33" s="12" t="s">
        <v>486</v>
      </c>
      <c r="C33" s="12" t="s">
        <v>418</v>
      </c>
      <c r="D33" s="12" t="s">
        <v>487</v>
      </c>
      <c r="E33" s="12" t="str">
        <f t="shared" si="1"/>
        <v>Huertas</v>
      </c>
      <c r="F33" s="12" t="s">
        <v>411</v>
      </c>
      <c r="G33" s="12" t="s">
        <v>488</v>
      </c>
      <c r="H33" s="13">
        <v>36</v>
      </c>
      <c r="I33" s="12" t="s">
        <v>412</v>
      </c>
      <c r="J33" s="17" t="str">
        <f t="shared" si="2"/>
        <v xml:space="preserve">INSERT INTO victima (idVictima, Nombre, Apellido, Edad, Ocupacion, Nacionalidad) VALUES (' MHuertas36 ',' Mónica Alexandra ', ' Huertas ', 36,' Ingeniera Mecanica ',' Colombiana '); 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</row>
    <row r="34" spans="1:28" ht="30.75" thickBot="1">
      <c r="A34" s="10" t="str">
        <f t="shared" si="0"/>
        <v>CAriztía42</v>
      </c>
      <c r="B34" s="12" t="s">
        <v>489</v>
      </c>
      <c r="C34" s="12" t="s">
        <v>414</v>
      </c>
      <c r="D34" s="12" t="s">
        <v>490</v>
      </c>
      <c r="E34" s="12" t="str">
        <f t="shared" si="1"/>
        <v>Ariztía</v>
      </c>
      <c r="F34" s="12" t="s">
        <v>426</v>
      </c>
      <c r="G34" s="12" t="s">
        <v>401</v>
      </c>
      <c r="H34" s="13">
        <v>42</v>
      </c>
      <c r="I34" s="12" t="s">
        <v>402</v>
      </c>
      <c r="J34" s="17" t="str">
        <f t="shared" si="2"/>
        <v xml:space="preserve">INSERT INTO victima (idVictima, Nombre, Apellido, Edad, Ocupacion, Nacionalidad) VALUES (' CAriztía42 ',' Carola ', ' Ariztía ', 42,' ND ',' Chilena '); 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ht="30.75" thickBot="1">
      <c r="A35" s="10" t="str">
        <f t="shared" si="0"/>
        <v>DMardones29</v>
      </c>
      <c r="B35" s="12" t="s">
        <v>491</v>
      </c>
      <c r="C35" s="12" t="s">
        <v>452</v>
      </c>
      <c r="D35" s="12" t="s">
        <v>492</v>
      </c>
      <c r="E35" s="12" t="str">
        <f t="shared" si="1"/>
        <v>Mardones</v>
      </c>
      <c r="F35" s="12" t="s">
        <v>418</v>
      </c>
      <c r="G35" s="12" t="s">
        <v>401</v>
      </c>
      <c r="H35" s="13">
        <v>29</v>
      </c>
      <c r="I35" s="12" t="s">
        <v>402</v>
      </c>
      <c r="J35" s="17" t="str">
        <f t="shared" si="2"/>
        <v xml:space="preserve">INSERT INTO victima (idVictima, Nombre, Apellido, Edad, Ocupacion, Nacionalidad) VALUES (' DMardones29 ',' Daniela Andra ', ' Mardones ', 29,' ND ',' Chilena '); 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</row>
    <row r="36" spans="1:28" ht="30.75" thickBot="1">
      <c r="A36" s="10" t="str">
        <f t="shared" si="0"/>
        <v>MMazuelos18</v>
      </c>
      <c r="B36" s="12" t="s">
        <v>493</v>
      </c>
      <c r="C36" s="12" t="s">
        <v>418</v>
      </c>
      <c r="D36" s="12" t="s">
        <v>494</v>
      </c>
      <c r="E36" s="12" t="str">
        <f t="shared" si="1"/>
        <v>Mazuelos</v>
      </c>
      <c r="F36" s="12" t="s">
        <v>418</v>
      </c>
      <c r="G36" s="12" t="s">
        <v>401</v>
      </c>
      <c r="H36" s="13">
        <v>18</v>
      </c>
      <c r="I36" s="12" t="s">
        <v>402</v>
      </c>
      <c r="J36" s="17" t="str">
        <f t="shared" si="2"/>
        <v xml:space="preserve">INSERT INTO victima (idVictima, Nombre, Apellido, Edad, Ocupacion, Nacionalidad) VALUES (' MMazuelos18 ',' Muriel ', ' Mazuelos ', 18,' ND ',' Chilena '); 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</row>
    <row r="37" spans="1:28" ht="30.75" thickBot="1">
      <c r="A37" s="10" t="str">
        <f t="shared" si="0"/>
        <v>ValparaisoZuñiga28</v>
      </c>
      <c r="B37" s="12" t="s">
        <v>495</v>
      </c>
      <c r="C37" s="12" t="s">
        <v>496</v>
      </c>
      <c r="D37" s="12" t="s">
        <v>497</v>
      </c>
      <c r="E37" s="12" t="str">
        <f t="shared" si="1"/>
        <v>Zuñiga</v>
      </c>
      <c r="F37" s="12" t="s">
        <v>498</v>
      </c>
      <c r="G37" s="12" t="s">
        <v>401</v>
      </c>
      <c r="H37" s="13">
        <v>28</v>
      </c>
      <c r="I37" s="12" t="s">
        <v>402</v>
      </c>
      <c r="J37" s="17" t="str">
        <f t="shared" si="2"/>
        <v xml:space="preserve">INSERT INTO victima (idVictima, Nombre, Apellido, Edad, Ocupacion, Nacionalidad) VALUES (' ValparaisoZuñiga28 ',' Vania ', ' Zuñiga ', 28,' ND ',' Chilena '); 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</row>
    <row r="38" spans="1:28" ht="15.75" thickBot="1">
      <c r="A38" s="10" t="str">
        <f t="shared" si="0"/>
        <v>CVéliz36</v>
      </c>
      <c r="B38" s="12" t="s">
        <v>499</v>
      </c>
      <c r="C38" s="12" t="s">
        <v>414</v>
      </c>
      <c r="D38" s="12" t="s">
        <v>500</v>
      </c>
      <c r="E38" s="12" t="s">
        <v>500</v>
      </c>
      <c r="F38" s="12" t="s">
        <v>496</v>
      </c>
      <c r="G38" s="12" t="s">
        <v>501</v>
      </c>
      <c r="H38" s="13">
        <v>36</v>
      </c>
      <c r="I38" s="12" t="s">
        <v>402</v>
      </c>
      <c r="J38" s="17" t="str">
        <f t="shared" si="2"/>
        <v xml:space="preserve">INSERT INTO victima (idVictima, Nombre, Apellido, Edad, Ocupacion, Nacionalidad) VALUES (' CVéliz36 ',' Carolina ', ' Véliz ', 36,' Recolector ',' Chilena '); 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</row>
    <row r="39" spans="1:28" ht="45.75" thickBot="1">
      <c r="A39" s="10" t="str">
        <f t="shared" si="0"/>
        <v>SChinquinquira26</v>
      </c>
      <c r="B39" s="12" t="s">
        <v>502</v>
      </c>
      <c r="C39" s="12" t="s">
        <v>404</v>
      </c>
      <c r="D39" s="12" t="s">
        <v>503</v>
      </c>
      <c r="E39" s="12" t="s">
        <v>597</v>
      </c>
      <c r="F39" s="12" t="s">
        <v>504</v>
      </c>
      <c r="G39" s="12" t="s">
        <v>401</v>
      </c>
      <c r="H39" s="16">
        <v>26</v>
      </c>
      <c r="I39" s="12" t="s">
        <v>505</v>
      </c>
      <c r="J39" s="17" t="str">
        <f t="shared" si="2"/>
        <v xml:space="preserve">INSERT INTO victima (idVictima, Nombre, Apellido, Edad, Ocupacion, Nacionalidad) VALUES (' SChinquinquira26 ',' Susjes ', ' Chinquinquira ', 26,' ND ',' Venezolana '); 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</row>
    <row r="40" spans="1:28" ht="15.75" thickBot="1">
      <c r="A40" s="10" t="str">
        <f t="shared" si="0"/>
        <v>KUribe31</v>
      </c>
      <c r="B40" s="12" t="s">
        <v>506</v>
      </c>
      <c r="C40" s="12" t="s">
        <v>460</v>
      </c>
      <c r="D40" s="12" t="s">
        <v>507</v>
      </c>
      <c r="E40" s="12" t="s">
        <v>507</v>
      </c>
      <c r="F40" s="12" t="s">
        <v>508</v>
      </c>
      <c r="G40" s="12" t="s">
        <v>401</v>
      </c>
      <c r="H40" s="13">
        <v>31</v>
      </c>
      <c r="I40" s="12" t="s">
        <v>402</v>
      </c>
      <c r="J40" s="17" t="str">
        <f t="shared" si="2"/>
        <v xml:space="preserve">INSERT INTO victima (idVictima, Nombre, Apellido, Edad, Ocupacion, Nacionalidad) VALUES (' KUribe31 ',' Karen ', ' Uribe ', 31,' ND ',' Chilena '); 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</row>
    <row r="41" spans="1:28" ht="45.75" thickBot="1">
      <c r="A41" s="10" t="str">
        <f t="shared" si="0"/>
        <v>LRamos26</v>
      </c>
      <c r="B41" s="12" t="s">
        <v>509</v>
      </c>
      <c r="C41" s="12" t="s">
        <v>409</v>
      </c>
      <c r="D41" s="12" t="s">
        <v>510</v>
      </c>
      <c r="E41" s="12" t="str">
        <f t="shared" si="1"/>
        <v>Ramos</v>
      </c>
      <c r="F41" s="12" t="s">
        <v>428</v>
      </c>
      <c r="G41" s="12" t="s">
        <v>401</v>
      </c>
      <c r="H41" s="13">
        <v>26</v>
      </c>
      <c r="I41" s="12" t="s">
        <v>402</v>
      </c>
      <c r="J41" s="17" t="str">
        <f t="shared" si="2"/>
        <v xml:space="preserve">INSERT INTO victima (idVictima, Nombre, Apellido, Edad, Ocupacion, Nacionalidad) VALUES (' LRamos26 ',' Lisette Valentina Paz ', ' Ramos ', 26,' ND ',' Chilena '); 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</row>
    <row r="42" spans="1:28" ht="30.75" thickBot="1">
      <c r="A42" s="10" t="str">
        <f t="shared" si="0"/>
        <v>YJaramillo37</v>
      </c>
      <c r="B42" s="12" t="s">
        <v>511</v>
      </c>
      <c r="C42" s="12" t="s">
        <v>422</v>
      </c>
      <c r="D42" s="12" t="s">
        <v>512</v>
      </c>
      <c r="E42" s="12" t="str">
        <f t="shared" si="1"/>
        <v>Jaramillo</v>
      </c>
      <c r="F42" s="12" t="s">
        <v>463</v>
      </c>
      <c r="G42" s="12" t="s">
        <v>401</v>
      </c>
      <c r="H42" s="13">
        <v>37</v>
      </c>
      <c r="I42" s="12" t="s">
        <v>402</v>
      </c>
      <c r="J42" s="17" t="str">
        <f t="shared" si="2"/>
        <v xml:space="preserve">INSERT INTO victima (idVictima, Nombre, Apellido, Edad, Ocupacion, Nacionalidad) VALUES (' YJaramillo37 ',' Yolanda Stela ', ' Jaramillo ', 37,' ND ',' Chilena '); 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</row>
    <row r="43" spans="1:28" ht="30.75" thickBot="1">
      <c r="A43" s="10" t="str">
        <f t="shared" si="0"/>
        <v>CGonzález37</v>
      </c>
      <c r="B43" s="12" t="s">
        <v>513</v>
      </c>
      <c r="C43" s="12" t="s">
        <v>414</v>
      </c>
      <c r="D43" s="12" t="s">
        <v>514</v>
      </c>
      <c r="E43" s="12" t="str">
        <f t="shared" si="1"/>
        <v>González</v>
      </c>
      <c r="F43" s="12" t="s">
        <v>420</v>
      </c>
      <c r="G43" s="12" t="s">
        <v>401</v>
      </c>
      <c r="H43" s="13">
        <v>37</v>
      </c>
      <c r="I43" s="12" t="s">
        <v>402</v>
      </c>
      <c r="J43" s="17" t="str">
        <f t="shared" si="2"/>
        <v xml:space="preserve">INSERT INTO victima (idVictima, Nombre, Apellido, Edad, Ocupacion, Nacionalidad) VALUES (' CGonzález37 ',' Claudia ', ' González ', 37,' ND ',' Chilena '); 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</row>
    <row r="44" spans="1:28" ht="30.75" thickBot="1">
      <c r="A44" s="10" t="str">
        <f t="shared" si="0"/>
        <v>MCarrillo43</v>
      </c>
      <c r="B44" s="12" t="s">
        <v>515</v>
      </c>
      <c r="C44" s="12" t="s">
        <v>418</v>
      </c>
      <c r="D44" s="12" t="s">
        <v>516</v>
      </c>
      <c r="E44" s="12" t="str">
        <f t="shared" si="1"/>
        <v>Carrillo</v>
      </c>
      <c r="F44" s="12" t="s">
        <v>414</v>
      </c>
      <c r="G44" s="12" t="s">
        <v>401</v>
      </c>
      <c r="H44" s="13">
        <v>43</v>
      </c>
      <c r="I44" s="12" t="s">
        <v>402</v>
      </c>
      <c r="J44" s="17" t="str">
        <f t="shared" si="2"/>
        <v xml:space="preserve">INSERT INTO victima (idVictima, Nombre, Apellido, Edad, Ocupacion, Nacionalidad) VALUES (' MCarrillo43 ',' Magdalena Del Rosario ', ' Carrillo ', 43,' ND ',' Chilena '); 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</row>
    <row r="45" spans="1:28" ht="15.75" thickBot="1">
      <c r="A45" s="10" t="str">
        <f t="shared" si="0"/>
        <v>EEscárate90</v>
      </c>
      <c r="B45" s="12" t="s">
        <v>517</v>
      </c>
      <c r="C45" s="12" t="s">
        <v>435</v>
      </c>
      <c r="D45" s="12" t="s">
        <v>518</v>
      </c>
      <c r="E45" s="12" t="s">
        <v>518</v>
      </c>
      <c r="F45" s="12" t="s">
        <v>435</v>
      </c>
      <c r="G45" s="12" t="s">
        <v>401</v>
      </c>
      <c r="H45" s="13">
        <v>90</v>
      </c>
      <c r="I45" s="12" t="s">
        <v>402</v>
      </c>
      <c r="J45" s="17" t="str">
        <f t="shared" si="2"/>
        <v xml:space="preserve">INSERT INTO victima (idVictima, Nombre, Apellido, Edad, Ocupacion, Nacionalidad) VALUES (' EEscárate90 ',' Elba ', ' Escárate ', 90,' ND ',' Chilena '); 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</row>
    <row r="46" spans="1:28" ht="30.75" thickBot="1">
      <c r="A46" s="10" t="str">
        <f t="shared" si="0"/>
        <v>CBarrientos43</v>
      </c>
      <c r="B46" s="12" t="s">
        <v>513</v>
      </c>
      <c r="C46" s="12" t="s">
        <v>414</v>
      </c>
      <c r="D46" s="12" t="s">
        <v>519</v>
      </c>
      <c r="E46" s="12" t="str">
        <f t="shared" si="1"/>
        <v>Barrientos</v>
      </c>
      <c r="F46" s="12" t="s">
        <v>438</v>
      </c>
      <c r="G46" s="12" t="s">
        <v>520</v>
      </c>
      <c r="H46" s="13">
        <v>43</v>
      </c>
      <c r="I46" s="12" t="s">
        <v>402</v>
      </c>
      <c r="J46" s="17" t="str">
        <f t="shared" si="2"/>
        <v xml:space="preserve">INSERT INTO victima (idVictima, Nombre, Apellido, Edad, Ocupacion, Nacionalidad) VALUES (' CBarrientos43 ',' Claudia ', ' Barrientos ', 43,' Candidata a concejal ',' Chilena '); 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</row>
    <row r="47" spans="1:28" ht="30.75" thickBot="1">
      <c r="A47" s="10" t="str">
        <f t="shared" si="0"/>
        <v>KWilson31</v>
      </c>
      <c r="B47" s="12" t="s">
        <v>521</v>
      </c>
      <c r="C47" s="12" t="s">
        <v>460</v>
      </c>
      <c r="D47" s="12" t="s">
        <v>522</v>
      </c>
      <c r="E47" s="12" t="str">
        <f t="shared" si="1"/>
        <v>Wilson</v>
      </c>
      <c r="F47" s="12" t="s">
        <v>523</v>
      </c>
      <c r="G47" s="12" t="s">
        <v>401</v>
      </c>
      <c r="H47" s="13">
        <v>31</v>
      </c>
      <c r="I47" s="12" t="s">
        <v>402</v>
      </c>
      <c r="J47" s="17" t="str">
        <f t="shared" si="2"/>
        <v xml:space="preserve">INSERT INTO victima (idVictima, Nombre, Apellido, Edad, Ocupacion, Nacionalidad) VALUES (' KWilson31 ',' Karen Andrea ', ' Wilson ', 31,' ND ',' Chilena '); 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</row>
    <row r="48" spans="1:28" ht="30.75" thickBot="1">
      <c r="A48" s="10" t="str">
        <f t="shared" si="0"/>
        <v>YAcevedo21</v>
      </c>
      <c r="B48" s="12" t="s">
        <v>524</v>
      </c>
      <c r="C48" s="12" t="s">
        <v>422</v>
      </c>
      <c r="D48" s="12" t="s">
        <v>525</v>
      </c>
      <c r="E48" s="12" t="s">
        <v>525</v>
      </c>
      <c r="F48" s="12" t="s">
        <v>426</v>
      </c>
      <c r="G48" s="12" t="s">
        <v>526</v>
      </c>
      <c r="H48" s="13">
        <v>21</v>
      </c>
      <c r="I48" s="12" t="s">
        <v>412</v>
      </c>
      <c r="J48" s="17" t="str">
        <f t="shared" si="2"/>
        <v xml:space="preserve">INSERT INTO victima (idVictima, Nombre, Apellido, Edad, Ocupacion, Nacionalidad) VALUES (' YAcevedo21 ',' Yuliana Andrea ', ' Acevedo ', 21,' Cajera ',' Colombiana '); 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</row>
    <row r="49" spans="1:28" ht="15.75" thickBot="1">
      <c r="A49" s="10" t="str">
        <f t="shared" si="0"/>
        <v>SSepúlveda41</v>
      </c>
      <c r="B49" s="12" t="s">
        <v>527</v>
      </c>
      <c r="C49" s="12" t="s">
        <v>404</v>
      </c>
      <c r="D49" s="12" t="s">
        <v>528</v>
      </c>
      <c r="E49" s="12" t="s">
        <v>528</v>
      </c>
      <c r="F49" s="12" t="s">
        <v>404</v>
      </c>
      <c r="G49" s="12" t="s">
        <v>401</v>
      </c>
      <c r="H49" s="13">
        <v>41</v>
      </c>
      <c r="I49" s="12" t="s">
        <v>402</v>
      </c>
      <c r="J49" s="17" t="str">
        <f t="shared" si="2"/>
        <v xml:space="preserve">INSERT INTO victima (idVictima, Nombre, Apellido, Edad, Ocupacion, Nacionalidad) VALUES (' SSepúlveda41 ',' Silvana ', ' Sepúlveda ', 41,' ND ',' Chilena '); 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</row>
    <row r="50" spans="1:28" ht="30.75" thickBot="1">
      <c r="A50" s="10" t="str">
        <f t="shared" si="0"/>
        <v>MCarriel63</v>
      </c>
      <c r="B50" s="12" t="s">
        <v>529</v>
      </c>
      <c r="C50" s="12" t="s">
        <v>418</v>
      </c>
      <c r="D50" s="12" t="s">
        <v>530</v>
      </c>
      <c r="E50" s="12" t="str">
        <f t="shared" si="1"/>
        <v>Carriel</v>
      </c>
      <c r="F50" s="12" t="s">
        <v>414</v>
      </c>
      <c r="G50" s="12" t="s">
        <v>401</v>
      </c>
      <c r="H50" s="13">
        <v>63</v>
      </c>
      <c r="I50" s="12" t="s">
        <v>402</v>
      </c>
      <c r="J50" s="17" t="str">
        <f t="shared" si="2"/>
        <v xml:space="preserve">INSERT INTO victima (idVictima, Nombre, Apellido, Edad, Ocupacion, Nacionalidad) VALUES (' MCarriel63 ',' Magaly ', ' Carriel ', 63,' ND ',' Chilena '); 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</row>
    <row r="51" spans="1:28" ht="30.75" thickBot="1">
      <c r="A51" s="10" t="str">
        <f t="shared" si="0"/>
        <v>AGarcía40</v>
      </c>
      <c r="B51" s="12" t="s">
        <v>531</v>
      </c>
      <c r="C51" s="12" t="s">
        <v>426</v>
      </c>
      <c r="D51" s="12" t="s">
        <v>532</v>
      </c>
      <c r="E51" s="12" t="s">
        <v>532</v>
      </c>
      <c r="F51" s="12" t="s">
        <v>420</v>
      </c>
      <c r="G51" s="12" t="s">
        <v>533</v>
      </c>
      <c r="H51" s="13">
        <v>40</v>
      </c>
      <c r="I51" s="12" t="s">
        <v>402</v>
      </c>
      <c r="J51" s="17" t="str">
        <f t="shared" si="2"/>
        <v xml:space="preserve">INSERT INTO victima (idVictima, Nombre, Apellido, Edad, Ocupacion, Nacionalidad) VALUES (' AGarcía40 ',' Amelia ', ' García ', 40,' asesora de hogar ',' Chilena '); 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</row>
    <row r="52" spans="1:28" ht="15.75" thickBot="1">
      <c r="A52" s="10" t="str">
        <f t="shared" si="0"/>
        <v>NLeyton45</v>
      </c>
      <c r="B52" s="12" t="s">
        <v>534</v>
      </c>
      <c r="C52" s="12" t="s">
        <v>406</v>
      </c>
      <c r="D52" s="12" t="s">
        <v>535</v>
      </c>
      <c r="E52" s="12" t="s">
        <v>535</v>
      </c>
      <c r="F52" s="12" t="s">
        <v>409</v>
      </c>
      <c r="G52" s="12" t="s">
        <v>401</v>
      </c>
      <c r="H52" s="13">
        <v>45</v>
      </c>
      <c r="I52" s="12" t="s">
        <v>402</v>
      </c>
      <c r="J52" s="17" t="str">
        <f t="shared" si="2"/>
        <v xml:space="preserve">INSERT INTO victima (idVictima, Nombre, Apellido, Edad, Ocupacion, Nacionalidad) VALUES (' NLeyton45 ',' Nelly ', ' Leyton ', 45,' ND ',' Chilena '); 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</row>
    <row r="53" spans="1:28" ht="30.75" thickBot="1">
      <c r="A53" s="10" t="str">
        <f t="shared" si="0"/>
        <v>NArenas58</v>
      </c>
      <c r="B53" s="12" t="s">
        <v>536</v>
      </c>
      <c r="C53" s="12" t="s">
        <v>406</v>
      </c>
      <c r="D53" s="12" t="s">
        <v>537</v>
      </c>
      <c r="E53" s="12" t="str">
        <f t="shared" si="1"/>
        <v>Arenas</v>
      </c>
      <c r="F53" s="12" t="s">
        <v>426</v>
      </c>
      <c r="G53" s="12" t="s">
        <v>401</v>
      </c>
      <c r="H53" s="13">
        <v>58</v>
      </c>
      <c r="I53" s="12" t="s">
        <v>402</v>
      </c>
      <c r="J53" s="17" t="str">
        <f t="shared" si="2"/>
        <v xml:space="preserve">INSERT INTO victima (idVictima, Nombre, Apellido, Edad, Ocupacion, Nacionalidad) VALUES (' NArenas58 ',' Nancy ', ' Arenas ', 58,' ND ',' Chilena '); 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</row>
    <row r="54" spans="1:28" ht="15.75" thickBot="1">
      <c r="A54" s="10" t="str">
        <f t="shared" si="0"/>
        <v>YAlvarez28</v>
      </c>
      <c r="B54" s="12" t="s">
        <v>538</v>
      </c>
      <c r="C54" s="12" t="s">
        <v>422</v>
      </c>
      <c r="D54" s="12" t="s">
        <v>539</v>
      </c>
      <c r="E54" s="12" t="s">
        <v>539</v>
      </c>
      <c r="F54" s="12" t="s">
        <v>426</v>
      </c>
      <c r="G54" s="12" t="s">
        <v>540</v>
      </c>
      <c r="H54" s="13">
        <v>28</v>
      </c>
      <c r="I54" s="12" t="s">
        <v>402</v>
      </c>
      <c r="J54" s="17" t="str">
        <f t="shared" si="2"/>
        <v xml:space="preserve">INSERT INTO victima (idVictima, Nombre, Apellido, Edad, Ocupacion, Nacionalidad) VALUES (' YAlvarez28 ',' Yuri ', ' Alvarez ', 28,' Vendedora ',' Chilena '); 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</row>
    <row r="55" spans="1:28" ht="30.75" thickBot="1">
      <c r="A55" s="10" t="str">
        <f t="shared" si="0"/>
        <v>AOjeda44</v>
      </c>
      <c r="B55" s="12" t="s">
        <v>541</v>
      </c>
      <c r="C55" s="12" t="s">
        <v>426</v>
      </c>
      <c r="D55" s="12" t="s">
        <v>542</v>
      </c>
      <c r="E55" s="12" t="str">
        <f t="shared" si="1"/>
        <v>Ojeda</v>
      </c>
      <c r="F55" s="12" t="s">
        <v>480</v>
      </c>
      <c r="G55" s="12" t="s">
        <v>401</v>
      </c>
      <c r="H55" s="13">
        <v>44</v>
      </c>
      <c r="I55" s="12" t="s">
        <v>402</v>
      </c>
      <c r="J55" s="17" t="str">
        <f t="shared" si="2"/>
        <v xml:space="preserve">INSERT INTO victima (idVictima, Nombre, Apellido, Edad, Ocupacion, Nacionalidad) VALUES (' AOjeda44 ',' Adalita Beatriz ', ' Ojeda ', 44,' ND ',' Chilena '); 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</row>
    <row r="56" spans="1:28" ht="30.75" thickBot="1">
      <c r="A56" s="10" t="str">
        <f t="shared" si="0"/>
        <v>BLópez54</v>
      </c>
      <c r="B56" s="12" t="s">
        <v>543</v>
      </c>
      <c r="C56" s="12" t="s">
        <v>438</v>
      </c>
      <c r="D56" s="12" t="s">
        <v>544</v>
      </c>
      <c r="E56" s="12" t="str">
        <f t="shared" si="1"/>
        <v>López</v>
      </c>
      <c r="F56" s="12" t="s">
        <v>409</v>
      </c>
      <c r="G56" s="12" t="s">
        <v>401</v>
      </c>
      <c r="H56" s="13">
        <v>54</v>
      </c>
      <c r="I56" s="12" t="s">
        <v>402</v>
      </c>
      <c r="J56" s="17" t="str">
        <f t="shared" si="2"/>
        <v xml:space="preserve">INSERT INTO victima (idVictima, Nombre, Apellido, Edad, Ocupacion, Nacionalidad) VALUES (' BLópez54 ',' Beatriz Solange ', ' López ', 54,' ND ',' Chilena '); 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</row>
    <row r="57" spans="1:28" ht="30.75" thickBot="1">
      <c r="A57" s="10" t="str">
        <f t="shared" si="0"/>
        <v>VManríquez45</v>
      </c>
      <c r="B57" s="14" t="s">
        <v>545</v>
      </c>
      <c r="C57" s="12" t="s">
        <v>416</v>
      </c>
      <c r="D57" s="14" t="s">
        <v>546</v>
      </c>
      <c r="E57" s="12" t="str">
        <f t="shared" si="1"/>
        <v>Manríquez</v>
      </c>
      <c r="F57" s="12" t="s">
        <v>418</v>
      </c>
      <c r="G57" s="12" t="s">
        <v>540</v>
      </c>
      <c r="H57" s="13">
        <v>45</v>
      </c>
      <c r="I57" s="12" t="s">
        <v>402</v>
      </c>
      <c r="J57" s="17" t="str">
        <f t="shared" si="2"/>
        <v xml:space="preserve">INSERT INTO victima (idVictima, Nombre, Apellido, Edad, Ocupacion, Nacionalidad) VALUES (' VManríquez45 ',' Velia ', ' Manríquez ', 45,' Vendedora ',' Chilena '); 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</row>
    <row r="58" spans="1:28" ht="30.75" thickBot="1">
      <c r="A58" s="10" t="str">
        <f t="shared" si="0"/>
        <v>VGamboa18</v>
      </c>
      <c r="B58" s="12" t="s">
        <v>547</v>
      </c>
      <c r="C58" s="12" t="s">
        <v>416</v>
      </c>
      <c r="D58" s="12" t="s">
        <v>548</v>
      </c>
      <c r="E58" s="12" t="str">
        <f t="shared" si="1"/>
        <v>Gamboa</v>
      </c>
      <c r="F58" s="12" t="s">
        <v>420</v>
      </c>
      <c r="G58" s="12" t="s">
        <v>447</v>
      </c>
      <c r="H58" s="13">
        <v>18</v>
      </c>
      <c r="I58" s="12" t="s">
        <v>402</v>
      </c>
      <c r="J58" s="17" t="str">
        <f t="shared" si="2"/>
        <v xml:space="preserve">INSERT INTO victima (idVictima, Nombre, Apellido, Edad, Ocupacion, Nacionalidad) VALUES (' VGamboa18 ',' Vanessa ', ' Gamboa ', 18,' Estudiante ',' Chilena '); 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</row>
    <row r="59" spans="1:28" ht="15.75" thickBot="1">
      <c r="A59" s="10" t="str">
        <f t="shared" si="0"/>
        <v>MGarcía24</v>
      </c>
      <c r="B59" s="14" t="s">
        <v>549</v>
      </c>
      <c r="C59" s="12" t="s">
        <v>418</v>
      </c>
      <c r="D59" s="14" t="s">
        <v>550</v>
      </c>
      <c r="E59" s="12" t="str">
        <f t="shared" si="1"/>
        <v>García</v>
      </c>
      <c r="F59" s="12" t="s">
        <v>420</v>
      </c>
      <c r="G59" s="12" t="s">
        <v>401</v>
      </c>
      <c r="H59" s="13">
        <v>24</v>
      </c>
      <c r="I59" s="12" t="s">
        <v>402</v>
      </c>
      <c r="J59" s="17" t="str">
        <f t="shared" si="2"/>
        <v xml:space="preserve">INSERT INTO victima (idVictima, Nombre, Apellido, Edad, Ocupacion, Nacionalidad) VALUES (' MGarcía24 ',' Mariela ', ' García ', 24,' ND ',' Chilena '); 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</row>
    <row r="60" spans="1:28" ht="45.75" thickBot="1">
      <c r="A60" s="10" t="str">
        <f t="shared" si="0"/>
        <v>NSaavedra23</v>
      </c>
      <c r="B60" s="12" t="s">
        <v>551</v>
      </c>
      <c r="C60" s="12" t="s">
        <v>406</v>
      </c>
      <c r="D60" s="12" t="s">
        <v>552</v>
      </c>
      <c r="E60" s="12" t="str">
        <f t="shared" si="1"/>
        <v>Saavedra</v>
      </c>
      <c r="F60" s="12" t="s">
        <v>404</v>
      </c>
      <c r="G60" s="12" t="s">
        <v>401</v>
      </c>
      <c r="H60" s="13">
        <v>23</v>
      </c>
      <c r="I60" s="12" t="s">
        <v>402</v>
      </c>
      <c r="J60" s="17" t="str">
        <f t="shared" si="2"/>
        <v xml:space="preserve">INSERT INTO victima (idVictima, Nombre, Apellido, Edad, Ocupacion, Nacionalidad) VALUES (' NSaavedra23 ',' Nicole ', ' Saavedra ', 23,' ND ',' Chilena '); 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</row>
    <row r="61" spans="1:28" ht="30.75" thickBot="1">
      <c r="A61" s="10" t="str">
        <f t="shared" si="0"/>
        <v>BTorres24</v>
      </c>
      <c r="B61" s="12" t="s">
        <v>553</v>
      </c>
      <c r="C61" s="12" t="s">
        <v>438</v>
      </c>
      <c r="D61" s="12" t="s">
        <v>554</v>
      </c>
      <c r="E61" s="12" t="str">
        <f t="shared" si="1"/>
        <v>Torres</v>
      </c>
      <c r="F61" s="12" t="s">
        <v>555</v>
      </c>
      <c r="G61" s="12" t="s">
        <v>401</v>
      </c>
      <c r="H61" s="13">
        <v>24</v>
      </c>
      <c r="I61" s="12" t="s">
        <v>556</v>
      </c>
      <c r="J61" s="17" t="str">
        <f t="shared" si="2"/>
        <v xml:space="preserve">INSERT INTO victima (idVictima, Nombre, Apellido, Edad, Ocupacion, Nacionalidad) VALUES (' BTorres24 ',' Beini ', ' Torres ', 24,' ND ',' Peruana '); 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</row>
    <row r="62" spans="1:28" ht="15.75" thickBot="1">
      <c r="A62" s="10" t="str">
        <f t="shared" si="0"/>
        <v>GFerraro30</v>
      </c>
      <c r="B62" s="12" t="s">
        <v>557</v>
      </c>
      <c r="C62" s="12" t="s">
        <v>420</v>
      </c>
      <c r="D62" s="12" t="s">
        <v>558</v>
      </c>
      <c r="E62" s="12" t="s">
        <v>558</v>
      </c>
      <c r="F62" s="12" t="s">
        <v>424</v>
      </c>
      <c r="G62" s="12" t="s">
        <v>401</v>
      </c>
      <c r="H62" s="13">
        <v>30</v>
      </c>
      <c r="I62" s="12" t="s">
        <v>559</v>
      </c>
      <c r="J62" s="17" t="str">
        <f t="shared" si="2"/>
        <v xml:space="preserve">INSERT INTO victima (idVictima, Nombre, Apellido, Edad, Ocupacion, Nacionalidad) VALUES (' GFerraro30 ',' Gisela ', ' Ferraro ', 30,' ND ',' Argentina '); 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</row>
    <row r="63" spans="1:28" ht="30.75" thickBot="1">
      <c r="A63" s="10" t="str">
        <f t="shared" si="0"/>
        <v>NPardo30</v>
      </c>
      <c r="B63" s="12" t="s">
        <v>560</v>
      </c>
      <c r="C63" s="12" t="s">
        <v>406</v>
      </c>
      <c r="D63" s="12" t="s">
        <v>561</v>
      </c>
      <c r="E63" s="12" t="str">
        <f t="shared" si="1"/>
        <v>Pardo</v>
      </c>
      <c r="F63" s="12" t="s">
        <v>400</v>
      </c>
      <c r="G63" s="12" t="s">
        <v>401</v>
      </c>
      <c r="H63" s="13">
        <v>30</v>
      </c>
      <c r="I63" s="12" t="s">
        <v>402</v>
      </c>
      <c r="J63" s="17" t="str">
        <f t="shared" si="2"/>
        <v xml:space="preserve">INSERT INTO victima (idVictima, Nombre, Apellido, Edad, Ocupacion, Nacionalidad) VALUES (' NPardo30 ',' Nadia V ', ' Pardo ', 30,' ND ',' Chilena '); 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</row>
    <row r="64" spans="1:28" ht="30.75" thickBot="1">
      <c r="A64" s="10" t="str">
        <f t="shared" si="0"/>
        <v>YCarrasco18</v>
      </c>
      <c r="B64" s="12" t="s">
        <v>562</v>
      </c>
      <c r="C64" s="12" t="s">
        <v>422</v>
      </c>
      <c r="D64" s="12" t="s">
        <v>563</v>
      </c>
      <c r="E64" s="12" t="str">
        <f t="shared" si="1"/>
        <v>Carrasco</v>
      </c>
      <c r="F64" s="12" t="s">
        <v>414</v>
      </c>
      <c r="G64" s="12" t="s">
        <v>401</v>
      </c>
      <c r="H64" s="13">
        <v>18</v>
      </c>
      <c r="I64" s="12" t="s">
        <v>402</v>
      </c>
      <c r="J64" s="17" t="str">
        <f t="shared" si="2"/>
        <v xml:space="preserve">INSERT INTO victima (idVictima, Nombre, Apellido, Edad, Ocupacion, Nacionalidad) VALUES (' YCarrasco18 ',' Yenery ', ' Carrasco ', 18,' ND ',' Chilena '); 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</row>
    <row r="65" spans="1:28" ht="15.75" thickBot="1">
      <c r="A65" s="10" t="str">
        <f t="shared" si="0"/>
        <v>BBustos28</v>
      </c>
      <c r="B65" s="12" t="s">
        <v>564</v>
      </c>
      <c r="C65" s="12" t="s">
        <v>438</v>
      </c>
      <c r="D65" s="12" t="s">
        <v>565</v>
      </c>
      <c r="E65" s="12" t="s">
        <v>565</v>
      </c>
      <c r="F65" s="12" t="s">
        <v>438</v>
      </c>
      <c r="G65" s="12" t="s">
        <v>401</v>
      </c>
      <c r="H65" s="13">
        <v>28</v>
      </c>
      <c r="I65" s="12" t="s">
        <v>402</v>
      </c>
      <c r="J65" s="17" t="str">
        <f t="shared" si="2"/>
        <v xml:space="preserve">INSERT INTO victima (idVictima, Nombre, Apellido, Edad, Ocupacion, Nacionalidad) VALUES (' BBustos28 ',' Betzabet ', ' Bustos ', 28,' ND ',' Chilena '); 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</row>
    <row r="66" spans="1:28" ht="30.75" thickBot="1">
      <c r="A66" s="10" t="str">
        <f t="shared" si="0"/>
        <v>MFernández34</v>
      </c>
      <c r="B66" s="12" t="s">
        <v>566</v>
      </c>
      <c r="C66" s="12" t="s">
        <v>418</v>
      </c>
      <c r="D66" s="12" t="s">
        <v>567</v>
      </c>
      <c r="E66" s="12" t="s">
        <v>567</v>
      </c>
      <c r="F66" s="12" t="s">
        <v>424</v>
      </c>
      <c r="G66" s="12" t="s">
        <v>401</v>
      </c>
      <c r="H66" s="13">
        <v>34</v>
      </c>
      <c r="I66" s="12" t="s">
        <v>559</v>
      </c>
      <c r="J66" s="17" t="str">
        <f t="shared" si="2"/>
        <v xml:space="preserve">INSERT INTO victima (idVictima, Nombre, Apellido, Edad, Ocupacion, Nacionalidad) VALUES (' MFernández34 ',' Mariela del Carmen ', ' Fernández ', 34,' ND ',' Argentina '); 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</row>
    <row r="67" spans="1:28" ht="15.75" thickBot="1">
      <c r="A67" s="10" t="str">
        <f t="shared" ref="A67:A80" si="3">CONCATENATE(C67,E67,H67)</f>
        <v>MNilo34</v>
      </c>
      <c r="B67" s="12" t="s">
        <v>568</v>
      </c>
      <c r="C67" s="12" t="s">
        <v>418</v>
      </c>
      <c r="D67" s="12" t="s">
        <v>569</v>
      </c>
      <c r="E67" s="12" t="s">
        <v>569</v>
      </c>
      <c r="F67" s="12" t="s">
        <v>406</v>
      </c>
      <c r="G67" s="12" t="s">
        <v>401</v>
      </c>
      <c r="H67" s="13">
        <v>34</v>
      </c>
      <c r="I67" s="12" t="s">
        <v>402</v>
      </c>
      <c r="J67" s="17" t="str">
        <f t="shared" si="2"/>
        <v xml:space="preserve">INSERT INTO victima (idVictima, Nombre, Apellido, Edad, Ocupacion, Nacionalidad) VALUES (' MNilo34 ',' María ', ' Nilo ', 34,' ND ',' Chilena '); 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</row>
    <row r="68" spans="1:28" ht="15.75" thickBot="1">
      <c r="A68" s="10" t="str">
        <f t="shared" si="3"/>
        <v>LJara45</v>
      </c>
      <c r="B68" s="12" t="s">
        <v>441</v>
      </c>
      <c r="C68" s="12" t="s">
        <v>409</v>
      </c>
      <c r="D68" s="12" t="s">
        <v>570</v>
      </c>
      <c r="E68" s="12" t="s">
        <v>570</v>
      </c>
      <c r="F68" s="12" t="s">
        <v>463</v>
      </c>
      <c r="G68" s="12" t="s">
        <v>401</v>
      </c>
      <c r="H68" s="13">
        <v>45</v>
      </c>
      <c r="I68" s="12" t="s">
        <v>402</v>
      </c>
      <c r="J68" s="17" t="str">
        <f t="shared" ref="J68:J80" si="4">"INSERT INTO victima (idVictima, Nombre, Apellido, Edad, Ocupacion, Nacionalidad) VALUES (' "&amp;A68&amp;" ',' "&amp;B68&amp;" ', ' "&amp;E68&amp;" ', "&amp;H68&amp;",' "&amp;G68&amp;" ',' "&amp;I68&amp;" '); "</f>
        <v xml:space="preserve">INSERT INTO victima (idVictima, Nombre, Apellido, Edad, Ocupacion, Nacionalidad) VALUES (' LJara45 ',' Lorena ', ' Jara ', 45,' ND ',' Chilena '); 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</row>
    <row r="69" spans="1:28" ht="30.75" thickBot="1">
      <c r="A69" s="10" t="str">
        <f t="shared" si="3"/>
        <v>DAndaur24</v>
      </c>
      <c r="B69" s="12" t="s">
        <v>571</v>
      </c>
      <c r="C69" s="12" t="s">
        <v>452</v>
      </c>
      <c r="D69" s="12" t="s">
        <v>572</v>
      </c>
      <c r="E69" s="12" t="str">
        <f t="shared" ref="E69:E78" si="5">MID(D69,1,FIND(" ",D69,1)-1)</f>
        <v>Andaur</v>
      </c>
      <c r="F69" s="12" t="s">
        <v>426</v>
      </c>
      <c r="G69" s="12" t="s">
        <v>401</v>
      </c>
      <c r="H69" s="13">
        <v>24</v>
      </c>
      <c r="I69" s="12" t="s">
        <v>402</v>
      </c>
      <c r="J69" s="17" t="str">
        <f t="shared" si="4"/>
        <v xml:space="preserve">INSERT INTO victima (idVictima, Nombre, Apellido, Edad, Ocupacion, Nacionalidad) VALUES (' DAndaur24 ',' Doris ', ' Andaur ', 24,' ND ',' Chilena '); 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</row>
    <row r="70" spans="1:28" ht="30.75" thickBot="1">
      <c r="A70" s="10" t="str">
        <f t="shared" si="3"/>
        <v>CMuñoz22</v>
      </c>
      <c r="B70" s="12" t="s">
        <v>573</v>
      </c>
      <c r="C70" s="12" t="s">
        <v>414</v>
      </c>
      <c r="D70" s="12" t="s">
        <v>574</v>
      </c>
      <c r="E70" s="12" t="str">
        <f t="shared" si="5"/>
        <v>Muñoz</v>
      </c>
      <c r="F70" s="12" t="s">
        <v>418</v>
      </c>
      <c r="G70" s="12" t="s">
        <v>401</v>
      </c>
      <c r="H70" s="13">
        <v>22</v>
      </c>
      <c r="I70" s="12" t="s">
        <v>402</v>
      </c>
      <c r="J70" s="17" t="str">
        <f t="shared" si="4"/>
        <v xml:space="preserve">INSERT INTO victima (idVictima, Nombre, Apellido, Edad, Ocupacion, Nacionalidad) VALUES (' CMuñoz22 ',' Cristal ', ' Muñoz ', 22,' ND ',' Chilena '); 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</row>
    <row r="71" spans="1:28" ht="30.75" thickBot="1">
      <c r="A71" s="10" t="str">
        <f t="shared" si="3"/>
        <v>VMedina23</v>
      </c>
      <c r="B71" s="12" t="s">
        <v>575</v>
      </c>
      <c r="C71" s="12" t="s">
        <v>416</v>
      </c>
      <c r="D71" s="12" t="s">
        <v>576</v>
      </c>
      <c r="E71" s="12" t="str">
        <f t="shared" si="5"/>
        <v>Medina</v>
      </c>
      <c r="F71" s="12" t="s">
        <v>418</v>
      </c>
      <c r="G71" s="12" t="s">
        <v>401</v>
      </c>
      <c r="H71" s="13">
        <v>23</v>
      </c>
      <c r="I71" s="12" t="s">
        <v>412</v>
      </c>
      <c r="J71" s="17" t="str">
        <f t="shared" si="4"/>
        <v xml:space="preserve">INSERT INTO victima (idVictima, Nombre, Apellido, Edad, Ocupacion, Nacionalidad) VALUES (' VMedina23 ',' Vanesa ', ' Medina ', 23,' ND ',' Colombiana '); 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</row>
    <row r="72" spans="1:28" ht="30.75" thickBot="1">
      <c r="A72" s="10" t="str">
        <f t="shared" si="3"/>
        <v>BMartínez45</v>
      </c>
      <c r="B72" s="12" t="s">
        <v>577</v>
      </c>
      <c r="C72" s="12" t="s">
        <v>438</v>
      </c>
      <c r="D72" s="12" t="s">
        <v>578</v>
      </c>
      <c r="E72" s="12" t="str">
        <f t="shared" si="5"/>
        <v>Martínez</v>
      </c>
      <c r="F72" s="12" t="s">
        <v>418</v>
      </c>
      <c r="G72" s="12" t="s">
        <v>401</v>
      </c>
      <c r="H72" s="13">
        <v>45</v>
      </c>
      <c r="I72" s="12" t="s">
        <v>402</v>
      </c>
      <c r="J72" s="17" t="str">
        <f t="shared" si="4"/>
        <v xml:space="preserve">INSERT INTO victima (idVictima, Nombre, Apellido, Edad, Ocupacion, Nacionalidad) VALUES (' BMartínez45 ',' Bernardita de Lourdes ', ' Martínez ', 45,' ND ',' Chilena '); 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</row>
    <row r="73" spans="1:28" ht="30.75" thickBot="1">
      <c r="A73" s="10" t="str">
        <f t="shared" si="3"/>
        <v>CCruzat46</v>
      </c>
      <c r="B73" s="12" t="s">
        <v>579</v>
      </c>
      <c r="C73" s="12" t="s">
        <v>414</v>
      </c>
      <c r="D73" s="12" t="s">
        <v>580</v>
      </c>
      <c r="E73" s="12" t="str">
        <f t="shared" si="5"/>
        <v>Cruzat</v>
      </c>
      <c r="F73" s="12" t="s">
        <v>414</v>
      </c>
      <c r="G73" s="12" t="s">
        <v>401</v>
      </c>
      <c r="H73" s="13">
        <v>46</v>
      </c>
      <c r="I73" s="12" t="s">
        <v>402</v>
      </c>
      <c r="J73" s="17" t="str">
        <f t="shared" si="4"/>
        <v xml:space="preserve">INSERT INTO victima (idVictima, Nombre, Apellido, Edad, Ocupacion, Nacionalidad) VALUES (' CCruzat46 ',' Claudia Andrea ', ' Cruzat ', 46,' ND ',' Chilena '); 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</row>
    <row r="74" spans="1:28" ht="30.75" thickBot="1">
      <c r="A74" s="10" t="str">
        <f t="shared" si="3"/>
        <v>PQuiroga51</v>
      </c>
      <c r="B74" s="12" t="s">
        <v>581</v>
      </c>
      <c r="C74" s="12" t="s">
        <v>400</v>
      </c>
      <c r="D74" s="12" t="s">
        <v>582</v>
      </c>
      <c r="E74" s="12" t="str">
        <f t="shared" si="5"/>
        <v>Quiroga</v>
      </c>
      <c r="F74" s="12" t="s">
        <v>583</v>
      </c>
      <c r="G74" s="12" t="s">
        <v>584</v>
      </c>
      <c r="H74" s="13">
        <v>51</v>
      </c>
      <c r="I74" s="12" t="s">
        <v>402</v>
      </c>
      <c r="J74" s="17" t="str">
        <f t="shared" si="4"/>
        <v xml:space="preserve">INSERT INTO victima (idVictima, Nombre, Apellido, Edad, Ocupacion, Nacionalidad) VALUES (' PQuiroga51 ',' Patricia Ester ', ' Quiroga ', 51,' mesera ',' Chilena '); 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 ht="30.75" thickBot="1">
      <c r="A75" s="10" t="str">
        <f t="shared" si="3"/>
        <v>CNúñez27</v>
      </c>
      <c r="B75" s="12" t="s">
        <v>579</v>
      </c>
      <c r="C75" s="12" t="s">
        <v>414</v>
      </c>
      <c r="D75" s="12" t="s">
        <v>585</v>
      </c>
      <c r="E75" s="12" t="str">
        <f t="shared" si="5"/>
        <v>Núñez</v>
      </c>
      <c r="F75" s="12" t="s">
        <v>406</v>
      </c>
      <c r="G75" s="12" t="s">
        <v>401</v>
      </c>
      <c r="H75" s="13">
        <v>27</v>
      </c>
      <c r="I75" s="12" t="s">
        <v>402</v>
      </c>
      <c r="J75" s="17" t="str">
        <f t="shared" si="4"/>
        <v xml:space="preserve">INSERT INTO victima (idVictima, Nombre, Apellido, Edad, Ocupacion, Nacionalidad) VALUES (' CNúñez27 ',' Claudia Andrea ', ' Núñez ', 27,' ND ',' Chilena '); 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 ht="30.75" thickBot="1">
      <c r="A76" s="10" t="str">
        <f t="shared" si="3"/>
        <v>JSoto24</v>
      </c>
      <c r="B76" s="12" t="s">
        <v>586</v>
      </c>
      <c r="C76" s="12" t="s">
        <v>463</v>
      </c>
      <c r="D76" s="12" t="s">
        <v>587</v>
      </c>
      <c r="E76" s="12" t="str">
        <f t="shared" si="5"/>
        <v>Soto</v>
      </c>
      <c r="F76" s="12" t="s">
        <v>404</v>
      </c>
      <c r="G76" s="12" t="s">
        <v>401</v>
      </c>
      <c r="H76" s="13">
        <v>24</v>
      </c>
      <c r="I76" s="12" t="s">
        <v>402</v>
      </c>
      <c r="J76" s="17" t="str">
        <f t="shared" si="4"/>
        <v xml:space="preserve">INSERT INTO victima (idVictima, Nombre, Apellido, Edad, Ocupacion, Nacionalidad) VALUES (' JSoto24 ',' Johana Abigail ', ' Soto ', 24,' ND ',' Chilena '); 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 ht="30.75" thickBot="1">
      <c r="A77" s="10" t="str">
        <f t="shared" si="3"/>
        <v>NPeña41</v>
      </c>
      <c r="B77" s="12" t="s">
        <v>536</v>
      </c>
      <c r="C77" s="12" t="s">
        <v>406</v>
      </c>
      <c r="D77" s="12" t="s">
        <v>588</v>
      </c>
      <c r="E77" s="12" t="str">
        <f t="shared" si="5"/>
        <v>Peña</v>
      </c>
      <c r="F77" s="12" t="s">
        <v>400</v>
      </c>
      <c r="G77" s="12" t="s">
        <v>401</v>
      </c>
      <c r="H77" s="13">
        <v>41</v>
      </c>
      <c r="I77" s="12" t="s">
        <v>402</v>
      </c>
      <c r="J77" s="17" t="str">
        <f t="shared" si="4"/>
        <v xml:space="preserve">INSERT INTO victima (idVictima, Nombre, Apellido, Edad, Ocupacion, Nacionalidad) VALUES (' NPeña41 ',' Nancy ', ' Peña ', 41,' ND ',' Chilena '); 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 ht="30.75" thickBot="1">
      <c r="A78" s="10" t="str">
        <f t="shared" si="3"/>
        <v>EUribe54</v>
      </c>
      <c r="B78" s="12" t="s">
        <v>589</v>
      </c>
      <c r="C78" s="12" t="s">
        <v>435</v>
      </c>
      <c r="D78" s="12" t="s">
        <v>590</v>
      </c>
      <c r="E78" s="12" t="str">
        <f t="shared" si="5"/>
        <v>Uribe</v>
      </c>
      <c r="F78" s="12" t="s">
        <v>508</v>
      </c>
      <c r="G78" s="12" t="s">
        <v>591</v>
      </c>
      <c r="H78" s="13">
        <v>54</v>
      </c>
      <c r="I78" s="12" t="s">
        <v>402</v>
      </c>
      <c r="J78" s="17" t="str">
        <f t="shared" si="4"/>
        <v xml:space="preserve">INSERT INTO victima (idVictima, Nombre, Apellido, Edad, Ocupacion, Nacionalidad) VALUES (' EUribe54 ',' Elizabeth Vilma ', ' Uribe ', 54,' Profesora ',' Chilena '); 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 ht="15.75" thickBot="1">
      <c r="A79" s="10" t="str">
        <f t="shared" si="3"/>
        <v>MBolvarán57</v>
      </c>
      <c r="B79" s="12" t="s">
        <v>549</v>
      </c>
      <c r="C79" s="12" t="s">
        <v>418</v>
      </c>
      <c r="D79" s="12" t="s">
        <v>592</v>
      </c>
      <c r="E79" s="12" t="s">
        <v>592</v>
      </c>
      <c r="F79" s="12" t="s">
        <v>438</v>
      </c>
      <c r="G79" s="12" t="s">
        <v>593</v>
      </c>
      <c r="H79" s="13">
        <v>57</v>
      </c>
      <c r="I79" s="12" t="s">
        <v>402</v>
      </c>
      <c r="J79" s="17" t="str">
        <f t="shared" si="4"/>
        <v xml:space="preserve">INSERT INTO victima (idVictima, Nombre, Apellido, Edad, Ocupacion, Nacionalidad) VALUES (' MBolvarán57 ',' Mariela ', ' Bolvarán ', 57,' Chef ',' Chilena '); 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 ht="30.75" thickBot="1">
      <c r="A80" s="10" t="str">
        <f t="shared" si="3"/>
        <v>MCortés78</v>
      </c>
      <c r="B80" s="12" t="s">
        <v>594</v>
      </c>
      <c r="C80" s="12" t="s">
        <v>418</v>
      </c>
      <c r="D80" s="12" t="s">
        <v>595</v>
      </c>
      <c r="E80" s="12" t="s">
        <v>595</v>
      </c>
      <c r="F80" s="12" t="s">
        <v>414</v>
      </c>
      <c r="G80" s="12" t="s">
        <v>401</v>
      </c>
      <c r="H80" s="13">
        <v>78</v>
      </c>
      <c r="I80" s="12" t="s">
        <v>559</v>
      </c>
      <c r="J80" s="17" t="str">
        <f t="shared" si="4"/>
        <v xml:space="preserve">INSERT INTO victima (idVictima, Nombre, Apellido, Edad, Ocupacion, Nacionalidad) VALUES (' MCortés78 ',' María Fernandez ', ' Cortés ', 78,' ND ',' Argentina '); 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 ht="15.75" thickBo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 ht="15.75" thickBo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 ht="15.75" thickBo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 ht="15.75" thickBo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 ht="15.75" thickBo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 ht="15.75" thickBo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ht="15.75" thickBo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</row>
    <row r="88" spans="1:28" ht="15.75" thickBo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 ht="15.75" thickBo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 ht="15.75" thickBo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 ht="15.75" thickBo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 ht="15.75" thickBo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 ht="15.75" thickBo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 ht="15.75" thickBo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 ht="15.75" thickBo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 ht="15.75" thickBo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 ht="15.75" thickBo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 ht="15.75" thickBo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 ht="15.75" thickBo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 ht="15.75" thickBo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 ht="15.75" thickBo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 ht="15.75" thickBo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 ht="15.75" thickBo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 ht="15.75" thickBo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 ht="15.75" thickBo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ht="15.75" thickBo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 ht="15.75" thickBo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 ht="15.75" thickBo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 ht="15.75" thickBo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 ht="15.75" thickBo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 ht="15.75" thickBo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 ht="15.75" thickBo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 ht="15.75" thickBo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 ht="15.75" thickBo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 ht="15.75" thickBo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</row>
    <row r="116" spans="1:28" ht="15.75" thickBo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 ht="15.75" thickBo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 ht="15.75" thickBo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 ht="15.75" thickBo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 ht="15.75" thickBo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 ht="15.75" thickBo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 ht="15.75" thickBo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 ht="15.75" thickBo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 ht="15.75" thickBo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 ht="15.75" thickBo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 ht="15.75" thickBo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 ht="15.75" thickBo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 ht="15.75" thickBo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</row>
    <row r="129" spans="1:28" ht="15.75" thickBo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</row>
    <row r="130" spans="1:28" ht="15.75" thickBo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</row>
    <row r="131" spans="1:28" ht="15.75" thickBo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</row>
    <row r="132" spans="1:28" ht="15.75" thickBo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</row>
    <row r="133" spans="1:28" ht="15.75" thickBo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</row>
    <row r="134" spans="1:28" ht="15.75" thickBo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</row>
    <row r="135" spans="1:28" ht="15.75" thickBo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</row>
    <row r="136" spans="1:28" ht="15.75" thickBo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</row>
    <row r="137" spans="1:28" ht="15.75" thickBo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</row>
    <row r="138" spans="1:28" ht="15.75" thickBo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</row>
    <row r="139" spans="1:28" ht="15.75" thickBo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</row>
    <row r="140" spans="1:28" ht="15.75" thickBo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</row>
    <row r="141" spans="1:28" ht="15.75" thickBo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</row>
    <row r="142" spans="1:28" ht="15.75" thickBo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</row>
    <row r="143" spans="1:28" ht="15.75" thickBo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</row>
    <row r="144" spans="1:28" ht="15.75" thickBo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</row>
    <row r="145" spans="1:28" ht="15.75" thickBo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</row>
    <row r="146" spans="1:28" ht="15.75" thickBo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</row>
    <row r="147" spans="1:28" ht="15.75" thickBo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</row>
    <row r="148" spans="1:28" ht="15.75" thickBo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</row>
    <row r="149" spans="1:28" ht="15.75" thickBo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</row>
    <row r="150" spans="1:28" ht="15.75" thickBo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</row>
    <row r="151" spans="1:28" ht="15.75" thickBo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</row>
    <row r="152" spans="1:28" ht="15.75" thickBo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</row>
    <row r="153" spans="1:28" ht="15.75" thickBo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</row>
    <row r="154" spans="1:28" ht="15.75" thickBo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</row>
    <row r="155" spans="1:28" ht="15.75" thickBo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</row>
    <row r="156" spans="1:28" ht="15.75" thickBo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</row>
    <row r="157" spans="1:28" ht="15.75" thickBo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</row>
    <row r="158" spans="1:28" ht="15.75" thickBo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</row>
    <row r="159" spans="1:28" ht="15.75" thickBo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</row>
    <row r="160" spans="1:28" ht="15.75" thickBo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</row>
    <row r="161" spans="1:28" ht="15.75" thickBo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</row>
    <row r="162" spans="1:28" ht="15.75" thickBo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</row>
    <row r="163" spans="1:28" ht="15.75" thickBo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</row>
    <row r="164" spans="1:28" ht="15.75" thickBo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</row>
    <row r="165" spans="1:28" ht="15.75" thickBo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</row>
    <row r="166" spans="1:28" ht="15.75" thickBo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</row>
    <row r="167" spans="1:28" ht="15.75" thickBo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</row>
    <row r="168" spans="1:28" ht="15.75" thickBo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</row>
    <row r="169" spans="1:28" ht="15.75" thickBo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</row>
    <row r="170" spans="1:28" ht="15.75" thickBo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</row>
    <row r="171" spans="1:28" ht="15.75" thickBo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</row>
    <row r="172" spans="1:28" ht="15.75" thickBo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</row>
    <row r="173" spans="1:28" ht="15.75" thickBo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</row>
    <row r="174" spans="1:28" ht="15.75" thickBo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</row>
    <row r="175" spans="1:28" ht="15.75" thickBo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</row>
    <row r="176" spans="1:28" ht="15.75" thickBo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</row>
    <row r="177" spans="1:28" ht="15.75" thickBo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</row>
    <row r="178" spans="1:28" ht="15.75" thickBo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</row>
    <row r="179" spans="1:28" ht="15.75" thickBo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</row>
    <row r="180" spans="1:28" ht="15.75" thickBo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</row>
    <row r="181" spans="1:28" ht="15.75" thickBo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</row>
    <row r="182" spans="1:28" ht="15.75" thickBo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</row>
    <row r="183" spans="1:28" ht="15.75" thickBo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</row>
    <row r="184" spans="1:28" ht="15.75" thickBo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</row>
    <row r="185" spans="1:28" ht="15.75" thickBo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</row>
    <row r="186" spans="1:28" ht="15.75" thickBo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</row>
    <row r="187" spans="1:28" ht="15.75" thickBo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</row>
    <row r="188" spans="1:28" ht="15.75" thickBo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</row>
    <row r="189" spans="1:28" ht="15.75" thickBo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</row>
    <row r="190" spans="1:28" ht="15.75" thickBo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</row>
    <row r="191" spans="1:28" ht="15.75" thickBo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</row>
    <row r="192" spans="1:28" ht="15.75" thickBo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</row>
    <row r="193" spans="1:28" ht="15.75" thickBo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</row>
    <row r="194" spans="1:28" ht="15.75" thickBo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</row>
    <row r="195" spans="1:28" ht="15.75" thickBo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</row>
    <row r="196" spans="1:28" ht="15.75" thickBo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</row>
    <row r="197" spans="1:28" ht="15.75" thickBo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</row>
    <row r="198" spans="1:28" ht="15.75" thickBo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</row>
    <row r="199" spans="1:28" ht="15.75" thickBo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</row>
    <row r="200" spans="1:28" ht="15.75" thickBo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</row>
    <row r="201" spans="1:28" ht="15.75" thickBo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</row>
    <row r="202" spans="1:28" ht="15.75" thickBo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</row>
    <row r="203" spans="1:28" ht="15.75" thickBo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</row>
    <row r="204" spans="1:28" ht="15.75" thickBo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</row>
    <row r="205" spans="1:28" ht="15.75" thickBo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</row>
    <row r="206" spans="1:28" ht="15.75" thickBo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</row>
    <row r="207" spans="1:28" ht="15.75" thickBo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</row>
    <row r="208" spans="1:28" ht="15.75" thickBo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</row>
    <row r="209" spans="1:28" ht="15.75" thickBo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</row>
    <row r="210" spans="1:28" ht="15.75" thickBo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</row>
    <row r="211" spans="1:28" ht="15.75" thickBo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</row>
    <row r="212" spans="1:28" ht="15.75" thickBo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</row>
    <row r="213" spans="1:28" ht="15.75" thickBo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</row>
    <row r="214" spans="1:28" ht="15.75" thickBo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</row>
    <row r="215" spans="1:28" ht="15.75" thickBo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</row>
    <row r="216" spans="1:28" ht="15.75" thickBo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</row>
    <row r="217" spans="1:28" ht="15.75" thickBo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</row>
    <row r="218" spans="1:28" ht="15.75" thickBo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</row>
    <row r="219" spans="1:28" ht="15.75" thickBo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</row>
    <row r="220" spans="1:28" ht="15.75" thickBo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</row>
    <row r="221" spans="1:28" ht="15.75" thickBo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</row>
    <row r="222" spans="1:28" ht="15.75" thickBo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</row>
    <row r="223" spans="1:28" ht="15.75" thickBo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</row>
    <row r="224" spans="1:28" ht="15.75" thickBo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</row>
    <row r="225" spans="1:28" ht="15.75" thickBo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</row>
    <row r="226" spans="1:28" ht="15.75" thickBo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</row>
    <row r="227" spans="1:28" ht="15.75" thickBo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</row>
    <row r="228" spans="1:28" ht="15.75" thickBo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</row>
    <row r="229" spans="1:28" ht="15.75" thickBo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</row>
    <row r="230" spans="1:28" ht="15.75" thickBo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</row>
    <row r="231" spans="1:28" ht="15.75" thickBo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</row>
    <row r="232" spans="1:28" ht="15.75" thickBo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</row>
    <row r="233" spans="1:28" ht="15.75" thickBo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</row>
    <row r="234" spans="1:28" ht="15.75" thickBo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</row>
    <row r="235" spans="1:28" ht="15.75" thickBo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</row>
    <row r="236" spans="1:28" ht="15.75" thickBo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</row>
    <row r="237" spans="1:28" ht="15.75" thickBo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</row>
    <row r="238" spans="1:28" ht="15.75" thickBo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</row>
    <row r="239" spans="1:28" ht="15.75" thickBo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</row>
    <row r="240" spans="1:28" ht="15.75" thickBo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</row>
    <row r="241" spans="1:28" ht="15.75" thickBo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</row>
    <row r="242" spans="1:28" ht="15.75" thickBo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</row>
    <row r="243" spans="1:28" ht="15.75" thickBo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</row>
    <row r="244" spans="1:28" ht="15.75" thickBo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</row>
    <row r="245" spans="1:28" ht="15.75" thickBo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</row>
    <row r="246" spans="1:28" ht="15.75" thickBo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</row>
    <row r="247" spans="1:28" ht="15.75" thickBo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</row>
    <row r="248" spans="1:28" ht="15.75" thickBo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</row>
    <row r="249" spans="1:28" ht="15.75" thickBo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</row>
    <row r="250" spans="1:28" ht="15.75" thickBo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</row>
    <row r="251" spans="1:28" ht="15.75" thickBo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</row>
    <row r="252" spans="1:28" ht="15.75" thickBo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</row>
    <row r="253" spans="1:28" ht="15.75" thickBo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</row>
    <row r="254" spans="1:28" ht="15.75" thickBo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</row>
    <row r="255" spans="1:28" ht="15.75" thickBo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</row>
    <row r="256" spans="1:28" ht="15.75" thickBo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</row>
    <row r="257" spans="1:28" ht="15.75" thickBo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</row>
    <row r="258" spans="1:28" ht="15.75" thickBo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</row>
    <row r="259" spans="1:28" ht="15.75" thickBo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</row>
    <row r="260" spans="1:28" ht="15.75" thickBo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</row>
    <row r="261" spans="1:28" ht="15.75" thickBo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</row>
    <row r="262" spans="1:28" ht="15.75" thickBo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</row>
    <row r="263" spans="1:28" ht="15.75" thickBo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</row>
    <row r="264" spans="1:28" ht="15.75" thickBo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</row>
    <row r="265" spans="1:28" ht="15.75" thickBo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</row>
    <row r="266" spans="1:28" ht="15.75" thickBo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</row>
    <row r="267" spans="1:28" ht="15.75" thickBo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</row>
    <row r="268" spans="1:28" ht="15.75" thickBo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</row>
    <row r="269" spans="1:28" ht="15.75" thickBo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</row>
    <row r="270" spans="1:28" ht="15.75" thickBo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</row>
    <row r="271" spans="1:28" ht="15.75" thickBo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</row>
    <row r="272" spans="1:28" ht="15.75" thickBo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</row>
    <row r="273" spans="1:28" ht="15.75" thickBo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</row>
    <row r="274" spans="1:28" ht="15.75" thickBo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</row>
    <row r="275" spans="1:28" ht="15.75" thickBo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</row>
    <row r="276" spans="1:28" ht="15.75" thickBo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</row>
    <row r="277" spans="1:28" ht="15.75" thickBo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</row>
    <row r="278" spans="1:28" ht="15.75" thickBo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</row>
    <row r="279" spans="1:28" ht="15.75" thickBo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</row>
    <row r="280" spans="1:28" ht="15.75" thickBo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</row>
    <row r="281" spans="1:28" ht="15.75" thickBo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</row>
    <row r="282" spans="1:28" ht="15.75" thickBo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</row>
    <row r="283" spans="1:28" ht="15.75" thickBo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</row>
    <row r="284" spans="1:28" ht="15.75" thickBo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</row>
    <row r="285" spans="1:28" ht="15.75" thickBo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</row>
    <row r="286" spans="1:28" ht="15.75" thickBo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</row>
    <row r="287" spans="1:28" ht="15.75" thickBo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</row>
    <row r="288" spans="1:28" ht="15.75" thickBo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</row>
    <row r="289" spans="1:28" ht="15.75" thickBo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</row>
    <row r="290" spans="1:28" ht="15.75" thickBo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</row>
    <row r="291" spans="1:28" ht="15.75" thickBo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</row>
    <row r="292" spans="1:28" ht="15.75" thickBo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</row>
    <row r="293" spans="1:28" ht="15.75" thickBo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</row>
    <row r="294" spans="1:28" ht="15.75" thickBo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</row>
    <row r="295" spans="1:28" ht="15.75" thickBo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</row>
    <row r="296" spans="1:28" ht="15.75" thickBo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</row>
    <row r="297" spans="1:28" ht="15.75" thickBo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</row>
    <row r="298" spans="1:28" ht="15.75" thickBo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</row>
    <row r="299" spans="1:28" ht="15.75" thickBo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</row>
    <row r="300" spans="1:28" ht="15.75" thickBo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</row>
    <row r="301" spans="1:28" ht="15.75" thickBo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</row>
    <row r="302" spans="1:28" ht="15.75" thickBo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</row>
    <row r="303" spans="1:28" ht="15.75" thickBo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</row>
    <row r="304" spans="1:28" ht="15.75" thickBo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</row>
    <row r="305" spans="1:28" ht="15.75" thickBo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</row>
    <row r="306" spans="1:28" ht="15.75" thickBo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</row>
    <row r="307" spans="1:28" ht="15.75" thickBo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</row>
    <row r="308" spans="1:28" ht="15.75" thickBo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</row>
    <row r="309" spans="1:28" ht="15.75" thickBo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</row>
    <row r="310" spans="1:28" ht="15.75" thickBo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</row>
    <row r="311" spans="1:28" ht="15.75" thickBo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</row>
    <row r="312" spans="1:28" ht="15.75" thickBo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</row>
    <row r="313" spans="1:28" ht="15.75" thickBo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</row>
    <row r="314" spans="1:28" ht="15.75" thickBo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</row>
    <row r="315" spans="1:28" ht="15.75" thickBo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</row>
    <row r="316" spans="1:28" ht="15.75" thickBo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</row>
    <row r="317" spans="1:28" ht="15.75" thickBo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</row>
    <row r="318" spans="1:28" ht="15.75" thickBo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</row>
    <row r="319" spans="1:28" ht="15.75" thickBo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</row>
    <row r="320" spans="1:28" ht="15.75" thickBo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</row>
    <row r="321" spans="1:28" ht="15.75" thickBo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</row>
    <row r="322" spans="1:28" ht="15.75" thickBo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</row>
    <row r="323" spans="1:28" ht="15.75" thickBo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</row>
    <row r="324" spans="1:28" ht="15.75" thickBo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</row>
    <row r="325" spans="1:28" ht="15.75" thickBo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</row>
    <row r="326" spans="1:28" ht="15.75" thickBo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</row>
    <row r="327" spans="1:28" ht="15.75" thickBo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</row>
    <row r="328" spans="1:28" ht="15.75" thickBo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</row>
    <row r="329" spans="1:28" ht="15.75" thickBo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</row>
    <row r="330" spans="1:28" ht="15.75" thickBo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</row>
    <row r="331" spans="1:28" ht="15.75" thickBo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</row>
    <row r="332" spans="1:28" ht="15.75" thickBo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</row>
    <row r="333" spans="1:28" ht="15.75" thickBo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</row>
    <row r="334" spans="1:28" ht="15.75" thickBo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</row>
    <row r="335" spans="1:28" ht="15.75" thickBo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</row>
    <row r="336" spans="1:28" ht="15.75" thickBo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</row>
    <row r="337" spans="1:28" ht="15.75" thickBo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</row>
    <row r="338" spans="1:28" ht="15.75" thickBo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</row>
    <row r="339" spans="1:28" ht="15.75" thickBo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</row>
    <row r="340" spans="1:28" ht="15.75" thickBo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</row>
    <row r="341" spans="1:28" ht="15.75" thickBo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</row>
    <row r="342" spans="1:28" ht="15.75" thickBo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</row>
    <row r="343" spans="1:28" ht="15.75" thickBo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</row>
    <row r="344" spans="1:28" ht="15.75" thickBo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</row>
    <row r="345" spans="1:28" ht="15.75" thickBo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</row>
    <row r="346" spans="1:28" ht="15.75" thickBo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</row>
    <row r="347" spans="1:28" ht="15.75" thickBo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</row>
    <row r="348" spans="1:28" ht="15.75" thickBo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</row>
    <row r="349" spans="1:28" ht="15.75" thickBo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</row>
    <row r="350" spans="1:28" ht="15.75" thickBo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</row>
    <row r="351" spans="1:28" ht="15.75" thickBo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</row>
    <row r="352" spans="1:28" ht="15.75" thickBo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</row>
    <row r="353" spans="1:28" ht="15.75" thickBo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</row>
    <row r="354" spans="1:28" ht="15.75" thickBo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</row>
    <row r="355" spans="1:28" ht="15.75" thickBo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</row>
    <row r="356" spans="1:28" ht="15.75" thickBo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</row>
    <row r="357" spans="1:28" ht="15.75" thickBo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</row>
    <row r="358" spans="1:28" ht="15.75" thickBo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</row>
    <row r="359" spans="1:28" ht="15.75" thickBo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</row>
    <row r="360" spans="1:28" ht="15.75" thickBo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</row>
    <row r="361" spans="1:28" ht="15.75" thickBo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</row>
    <row r="362" spans="1:28" ht="15.75" thickBo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</row>
    <row r="363" spans="1:28" ht="15.75" thickBo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</row>
    <row r="364" spans="1:28" ht="15.75" thickBo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</row>
    <row r="365" spans="1:28" ht="15.75" thickBo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</row>
    <row r="366" spans="1:28" ht="15.75" thickBo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</row>
    <row r="367" spans="1:28" ht="15.75" thickBo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</row>
    <row r="368" spans="1:28" ht="15.75" thickBo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</row>
    <row r="369" spans="1:28" ht="15.75" thickBo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</row>
    <row r="370" spans="1:28" ht="15.75" thickBo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</row>
    <row r="371" spans="1:28" ht="15.75" thickBo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</row>
    <row r="372" spans="1:28" ht="15.75" thickBo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</row>
    <row r="373" spans="1:28" ht="15.75" thickBo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</row>
    <row r="374" spans="1:28" ht="15.75" thickBo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</row>
    <row r="375" spans="1:28" ht="15.75" thickBo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</row>
    <row r="376" spans="1:28" ht="15.75" thickBo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</row>
    <row r="377" spans="1:28" ht="15.75" thickBo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</row>
    <row r="378" spans="1:28" ht="15.75" thickBo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</row>
    <row r="379" spans="1:28" ht="15.75" thickBo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</row>
    <row r="380" spans="1:28" ht="15.75" thickBo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</row>
    <row r="381" spans="1:28" ht="15.75" thickBo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</row>
    <row r="382" spans="1:28" ht="15.75" thickBo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</row>
    <row r="383" spans="1:28" ht="15.75" thickBo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</row>
    <row r="384" spans="1:28" ht="15.75" thickBo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</row>
    <row r="385" spans="1:28" ht="15.75" thickBo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</row>
    <row r="386" spans="1:28" ht="15.75" thickBo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</row>
    <row r="387" spans="1:28" ht="15.75" thickBo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</row>
    <row r="388" spans="1:28" ht="15.75" thickBo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</row>
    <row r="389" spans="1:28" ht="15.75" thickBo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</row>
    <row r="390" spans="1:28" ht="15.75" thickBo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</row>
    <row r="391" spans="1:28" ht="15.75" thickBo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</row>
    <row r="392" spans="1:28" ht="15.75" thickBo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</row>
    <row r="393" spans="1:28" ht="15.75" thickBo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</row>
    <row r="394" spans="1:28" ht="15.75" thickBo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</row>
    <row r="395" spans="1:28" ht="15.75" thickBo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</row>
    <row r="396" spans="1:28" ht="15.75" thickBo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</row>
    <row r="397" spans="1:28" ht="15.75" thickBo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</row>
    <row r="398" spans="1:28" ht="15.75" thickBo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</row>
    <row r="399" spans="1:28" ht="15.75" thickBo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</row>
    <row r="400" spans="1:28" ht="15.75" thickBo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</row>
    <row r="401" spans="1:28" ht="15.75" thickBo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</row>
    <row r="402" spans="1:28" ht="15.75" thickBo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</row>
    <row r="403" spans="1:28" ht="15.75" thickBo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</row>
    <row r="404" spans="1:28" ht="15.75" thickBo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</row>
    <row r="405" spans="1:28" ht="15.75" thickBo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</row>
    <row r="406" spans="1:28" ht="15.75" thickBo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</row>
    <row r="407" spans="1:28" ht="15.75" thickBo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</row>
    <row r="408" spans="1:28" ht="15.75" thickBo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</row>
    <row r="409" spans="1:28" ht="15.75" thickBo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</row>
    <row r="410" spans="1:28" ht="15.75" thickBo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</row>
    <row r="411" spans="1:28" ht="15.75" thickBo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</row>
    <row r="412" spans="1:28" ht="15.75" thickBo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</row>
    <row r="413" spans="1:28" ht="15.75" thickBo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</row>
    <row r="414" spans="1:28" ht="15.75" thickBo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</row>
    <row r="415" spans="1:28" ht="15.75" thickBo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</row>
    <row r="416" spans="1:28" ht="15.75" thickBo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</row>
    <row r="417" spans="1:28" ht="15.75" thickBo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</row>
    <row r="418" spans="1:28" ht="15.75" thickBo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</row>
    <row r="419" spans="1:28" ht="15.75" thickBo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</row>
    <row r="420" spans="1:28" ht="15.75" thickBo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</row>
    <row r="421" spans="1:28" ht="15.75" thickBo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</row>
    <row r="422" spans="1:28" ht="15.75" thickBo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</row>
    <row r="423" spans="1:28" ht="15.75" thickBo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</row>
    <row r="424" spans="1:28" ht="15.75" thickBo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</row>
    <row r="425" spans="1:28" ht="15.75" thickBo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</row>
    <row r="426" spans="1:28" ht="15.75" thickBo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</row>
    <row r="427" spans="1:28" ht="15.75" thickBo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</row>
    <row r="428" spans="1:28" ht="15.75" thickBo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</row>
    <row r="429" spans="1:28" ht="15.75" thickBo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</row>
    <row r="430" spans="1:28" ht="15.75" thickBo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</row>
    <row r="431" spans="1:28" ht="15.75" thickBo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</row>
    <row r="432" spans="1:28" ht="15.75" thickBo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</row>
    <row r="433" spans="1:28" ht="15.75" thickBo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</row>
    <row r="434" spans="1:28" ht="15.75" thickBo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</row>
    <row r="435" spans="1:28" ht="15.75" thickBo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</row>
    <row r="436" spans="1:28" ht="15.75" thickBo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</row>
    <row r="437" spans="1:28" ht="15.75" thickBo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</row>
    <row r="438" spans="1:28" ht="15.75" thickBo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</row>
    <row r="439" spans="1:28" ht="15.75" thickBo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</row>
    <row r="440" spans="1:28" ht="15.75" thickBo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</row>
    <row r="441" spans="1:28" ht="15.75" thickBo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</row>
    <row r="442" spans="1:28" ht="15.75" thickBo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</row>
    <row r="443" spans="1:28" ht="15.75" thickBo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</row>
    <row r="444" spans="1:28" ht="15.75" thickBo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</row>
    <row r="445" spans="1:28" ht="15.75" thickBo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</row>
    <row r="446" spans="1:28" ht="15.75" thickBo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</row>
    <row r="447" spans="1:28" ht="15.75" thickBo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</row>
    <row r="448" spans="1:28" ht="15.75" thickBo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</row>
    <row r="449" spans="1:28" ht="15.75" thickBo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</row>
    <row r="450" spans="1:28" ht="15.75" thickBo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</row>
    <row r="451" spans="1:28" ht="15.75" thickBo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</row>
    <row r="452" spans="1:28" ht="15.75" thickBo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</row>
    <row r="453" spans="1:28" ht="15.75" thickBo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</row>
    <row r="454" spans="1:28" ht="15.75" thickBo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</row>
    <row r="455" spans="1:28" ht="15.75" thickBo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</row>
    <row r="456" spans="1:28" ht="15.75" thickBo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</row>
    <row r="457" spans="1:28" ht="15.75" thickBo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</row>
    <row r="458" spans="1:28" ht="15.75" thickBo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</row>
    <row r="459" spans="1:28" ht="15.75" thickBo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</row>
    <row r="460" spans="1:28" ht="15.75" thickBo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</row>
    <row r="461" spans="1:28" ht="15.75" thickBo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</row>
    <row r="462" spans="1:28" ht="15.75" thickBo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</row>
    <row r="463" spans="1:28" ht="15.75" thickBo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</row>
    <row r="464" spans="1:28" ht="15.75" thickBo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</row>
    <row r="465" spans="1:28" ht="15.75" thickBo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</row>
    <row r="466" spans="1:28" ht="15.75" thickBo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</row>
    <row r="467" spans="1:28" ht="15.75" thickBo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</row>
    <row r="468" spans="1:28" ht="15.75" thickBo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</row>
    <row r="469" spans="1:28" ht="15.75" thickBo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</row>
    <row r="470" spans="1:28" ht="15.75" thickBo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</row>
    <row r="471" spans="1:28" ht="15.75" thickBo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</row>
    <row r="472" spans="1:28" ht="15.75" thickBo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</row>
    <row r="473" spans="1:28" ht="15.75" thickBo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</row>
    <row r="474" spans="1:28" ht="15.75" thickBo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</row>
    <row r="475" spans="1:28" ht="15.75" thickBo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</row>
    <row r="476" spans="1:28" ht="15.75" thickBo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</row>
    <row r="477" spans="1:28" ht="15.75" thickBo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</row>
    <row r="478" spans="1:28" ht="15.75" thickBo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</row>
    <row r="479" spans="1:28" ht="15.75" thickBo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</row>
    <row r="480" spans="1:28" ht="15.75" thickBo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</row>
    <row r="481" spans="1:28" ht="15.75" thickBo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</row>
    <row r="482" spans="1:28" ht="15.75" thickBo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</row>
    <row r="483" spans="1:28" ht="15.75" thickBo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</row>
    <row r="484" spans="1:28" ht="15.75" thickBo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</row>
    <row r="485" spans="1:28" ht="15.75" thickBo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</row>
    <row r="486" spans="1:28" ht="15.75" thickBo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</row>
    <row r="487" spans="1:28" ht="15.75" thickBo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</row>
    <row r="488" spans="1:28" ht="15.75" thickBo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</row>
    <row r="489" spans="1:28" ht="15.75" thickBo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</row>
    <row r="490" spans="1:28" ht="15.75" thickBo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</row>
    <row r="491" spans="1:28" ht="15.75" thickBo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</row>
    <row r="492" spans="1:28" ht="15.75" thickBo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</row>
    <row r="493" spans="1:28" ht="15.75" thickBo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</row>
    <row r="494" spans="1:28" ht="15.75" thickBo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</row>
    <row r="495" spans="1:28" ht="15.75" thickBo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</row>
    <row r="496" spans="1:28" ht="15.75" thickBo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</row>
    <row r="497" spans="1:28" ht="15.75" thickBo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</row>
    <row r="498" spans="1:28" ht="15.75" thickBo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</row>
    <row r="499" spans="1:28" ht="15.75" thickBo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</row>
    <row r="500" spans="1:28" ht="15.75" thickBo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</row>
    <row r="501" spans="1:28" ht="15.75" thickBo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</row>
    <row r="502" spans="1:28" ht="15.75" thickBo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</row>
    <row r="503" spans="1:28" ht="15.75" thickBo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</row>
    <row r="504" spans="1:28" ht="15.75" thickBo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</row>
    <row r="505" spans="1:28" ht="15.75" thickBo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</row>
    <row r="506" spans="1:28" ht="15.75" thickBo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</row>
    <row r="507" spans="1:28" ht="15.75" thickBo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</row>
    <row r="508" spans="1:28" ht="15.75" thickBo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</row>
    <row r="509" spans="1:28" ht="15.75" thickBo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</row>
    <row r="510" spans="1:28" ht="15.75" thickBo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</row>
    <row r="511" spans="1:28" ht="15.75" thickBo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</row>
    <row r="512" spans="1:28" ht="15.75" thickBo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</row>
    <row r="513" spans="1:28" ht="15.75" thickBo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</row>
    <row r="514" spans="1:28" ht="15.75" thickBo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</row>
    <row r="515" spans="1:28" ht="15.75" thickBo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</row>
    <row r="516" spans="1:28" ht="15.75" thickBo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</row>
    <row r="517" spans="1:28" ht="15.75" thickBo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</row>
    <row r="518" spans="1:28" ht="15.75" thickBo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</row>
    <row r="519" spans="1:28" ht="15.75" thickBo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</row>
    <row r="520" spans="1:28" ht="15.75" thickBo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</row>
    <row r="521" spans="1:28" ht="15.75" thickBo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</row>
    <row r="522" spans="1:28" ht="15.75" thickBo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</row>
    <row r="523" spans="1:28" ht="15.75" thickBo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</row>
    <row r="524" spans="1:28" ht="15.75" thickBo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</row>
    <row r="525" spans="1:28" ht="15.75" thickBo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</row>
    <row r="526" spans="1:28" ht="15.75" thickBo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</row>
    <row r="527" spans="1:28" ht="15.75" thickBo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</row>
    <row r="528" spans="1:28" ht="15.75" thickBo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</row>
    <row r="529" spans="1:28" ht="15.75" thickBo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</row>
    <row r="530" spans="1:28" ht="15.75" thickBo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</row>
    <row r="531" spans="1:28" ht="15.75" thickBo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</row>
    <row r="532" spans="1:28" ht="15.75" thickBo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</row>
    <row r="533" spans="1:28" ht="15.75" thickBo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</row>
    <row r="534" spans="1:28" ht="15.75" thickBo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</row>
    <row r="535" spans="1:28" ht="15.75" thickBo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</row>
    <row r="536" spans="1:28" ht="15.75" thickBo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</row>
    <row r="537" spans="1:28" ht="15.75" thickBo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</row>
    <row r="538" spans="1:28" ht="15.75" thickBo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</row>
    <row r="539" spans="1:28" ht="15.75" thickBo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</row>
    <row r="540" spans="1:28" ht="15.75" thickBo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</row>
    <row r="541" spans="1:28" ht="15.75" thickBo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</row>
    <row r="542" spans="1:28" ht="15.75" thickBo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</row>
    <row r="543" spans="1:28" ht="15.75" thickBo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</row>
    <row r="544" spans="1:28" ht="15.75" thickBo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</row>
    <row r="545" spans="1:28" ht="15.75" thickBo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</row>
    <row r="546" spans="1:28" ht="15.75" thickBo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</row>
    <row r="547" spans="1:28" ht="15.75" thickBo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</row>
    <row r="548" spans="1:28" ht="15.75" thickBo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</row>
    <row r="549" spans="1:28" ht="15.75" thickBo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</row>
    <row r="550" spans="1:28" ht="15.75" thickBo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</row>
    <row r="551" spans="1:28" ht="15.75" thickBo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</row>
    <row r="552" spans="1:28" ht="15.75" thickBo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</row>
    <row r="553" spans="1:28" ht="15.75" thickBo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</row>
    <row r="554" spans="1:28" ht="15.75" thickBo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</row>
    <row r="555" spans="1:28" ht="15.75" thickBo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</row>
    <row r="556" spans="1:28" ht="15.75" thickBo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</row>
    <row r="557" spans="1:28" ht="15.75" thickBo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</row>
    <row r="558" spans="1:28" ht="15.75" thickBo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</row>
    <row r="559" spans="1:28" ht="15.75" thickBo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</row>
    <row r="560" spans="1:28" ht="15.75" thickBo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</row>
    <row r="561" spans="1:28" ht="15.75" thickBo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</row>
    <row r="562" spans="1:28" ht="15.75" thickBo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</row>
    <row r="563" spans="1:28" ht="15.75" thickBo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</row>
    <row r="564" spans="1:28" ht="15.75" thickBo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</row>
    <row r="565" spans="1:28" ht="15.75" thickBo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</row>
    <row r="566" spans="1:28" ht="15.75" thickBo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</row>
    <row r="567" spans="1:28" ht="15.75" thickBo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</row>
    <row r="568" spans="1:28" ht="15.75" thickBo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</row>
    <row r="569" spans="1:28" ht="15.75" thickBo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</row>
    <row r="570" spans="1:28" ht="15.75" thickBo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</row>
    <row r="571" spans="1:28" ht="15.75" thickBo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</row>
    <row r="572" spans="1:28" ht="15.75" thickBo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</row>
    <row r="573" spans="1:28" ht="15.75" thickBo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</row>
    <row r="574" spans="1:28" ht="15.75" thickBo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</row>
    <row r="575" spans="1:28" ht="15.75" thickBo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</row>
    <row r="576" spans="1:28" ht="15.75" thickBo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</row>
    <row r="577" spans="1:28" ht="15.75" thickBo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</row>
    <row r="578" spans="1:28" ht="15.75" thickBo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</row>
    <row r="579" spans="1:28" ht="15.75" thickBo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</row>
    <row r="580" spans="1:28" ht="15.75" thickBo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</row>
    <row r="581" spans="1:28" ht="15.75" thickBo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</row>
    <row r="582" spans="1:28" ht="15.75" thickBo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</row>
    <row r="583" spans="1:28" ht="15.75" thickBo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</row>
    <row r="584" spans="1:28" ht="15.75" thickBo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</row>
    <row r="585" spans="1:28" ht="15.75" thickBo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</row>
    <row r="586" spans="1:28" ht="15.75" thickBo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</row>
    <row r="587" spans="1:28" ht="15.75" thickBo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</row>
    <row r="588" spans="1:28" ht="15.75" thickBo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</row>
    <row r="589" spans="1:28" ht="15.75" thickBo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</row>
    <row r="590" spans="1:28" ht="15.75" thickBo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</row>
    <row r="591" spans="1:28" ht="15.75" thickBo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</row>
    <row r="592" spans="1:28" ht="15.75" thickBo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</row>
    <row r="593" spans="1:28" ht="15.75" thickBo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</row>
    <row r="594" spans="1:28" ht="15.75" thickBo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</row>
    <row r="595" spans="1:28" ht="15.75" thickBo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</row>
    <row r="596" spans="1:28" ht="15.75" thickBo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</row>
    <row r="597" spans="1:28" ht="15.75" thickBo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</row>
    <row r="598" spans="1:28" ht="15.75" thickBo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</row>
    <row r="599" spans="1:28" ht="15.75" thickBo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</row>
    <row r="600" spans="1:28" ht="15.75" thickBo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</row>
    <row r="601" spans="1:28" ht="15.75" thickBo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</row>
    <row r="602" spans="1:28" ht="15.75" thickBo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</row>
    <row r="603" spans="1:28" ht="15.75" thickBo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</row>
    <row r="604" spans="1:28" ht="15.75" thickBo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</row>
    <row r="605" spans="1:28" ht="15.75" thickBo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</row>
    <row r="606" spans="1:28" ht="15.75" thickBo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</row>
    <row r="607" spans="1:28" ht="15.75" thickBo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</row>
    <row r="608" spans="1:28" ht="15.75" thickBo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</row>
    <row r="609" spans="1:28" ht="15.75" thickBo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</row>
    <row r="610" spans="1:28" ht="15.75" thickBo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</row>
    <row r="611" spans="1:28" ht="15.75" thickBo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</row>
    <row r="612" spans="1:28" ht="15.75" thickBo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</row>
    <row r="613" spans="1:28" ht="15.75" thickBo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</row>
    <row r="614" spans="1:28" ht="15.75" thickBo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</row>
    <row r="615" spans="1:28" ht="15.75" thickBo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</row>
    <row r="616" spans="1:28" ht="15.75" thickBo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</row>
    <row r="617" spans="1:28" ht="15.75" thickBo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</row>
    <row r="618" spans="1:28" ht="15.75" thickBo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</row>
    <row r="619" spans="1:28" ht="15.75" thickBo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</row>
    <row r="620" spans="1:28" ht="15.75" thickBo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</row>
    <row r="621" spans="1:28" ht="15.75" thickBo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</row>
    <row r="622" spans="1:28" ht="15.75" thickBo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</row>
    <row r="623" spans="1:28" ht="15.75" thickBo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</row>
    <row r="624" spans="1:28" ht="15.75" thickBo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</row>
    <row r="625" spans="1:28" ht="15.75" thickBo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</row>
    <row r="626" spans="1:28" ht="15.75" thickBo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</row>
    <row r="627" spans="1:28" ht="15.75" thickBo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</row>
    <row r="628" spans="1:28" ht="15.75" thickBo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</row>
    <row r="629" spans="1:28" ht="15.75" thickBo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</row>
    <row r="630" spans="1:28" ht="15.75" thickBo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</row>
    <row r="631" spans="1:28" ht="15.75" thickBo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</row>
    <row r="632" spans="1:28" ht="15.75" thickBo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</row>
    <row r="633" spans="1:28" ht="15.75" thickBo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</row>
    <row r="634" spans="1:28" ht="15.75" thickBo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</row>
    <row r="635" spans="1:28" ht="15.75" thickBo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</row>
    <row r="636" spans="1:28" ht="15.75" thickBo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</row>
    <row r="637" spans="1:28" ht="15.75" thickBo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</row>
    <row r="638" spans="1:28" ht="15.75" thickBo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</row>
    <row r="639" spans="1:28" ht="15.75" thickBo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</row>
    <row r="640" spans="1:28" ht="15.75" thickBo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</row>
    <row r="641" spans="1:28" ht="15.75" thickBo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</row>
    <row r="642" spans="1:28" ht="15.75" thickBo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</row>
    <row r="643" spans="1:28" ht="15.75" thickBo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</row>
    <row r="644" spans="1:28" ht="15.75" thickBo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</row>
    <row r="645" spans="1:28" ht="15.75" thickBo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</row>
    <row r="646" spans="1:28" ht="15.75" thickBo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</row>
    <row r="647" spans="1:28" ht="15.75" thickBo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</row>
    <row r="648" spans="1:28" ht="15.75" thickBo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</row>
    <row r="649" spans="1:28" ht="15.75" thickBo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</row>
    <row r="650" spans="1:28" ht="15.75" thickBo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</row>
    <row r="651" spans="1:28" ht="15.75" thickBo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</row>
    <row r="652" spans="1:28" ht="15.75" thickBo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</row>
    <row r="653" spans="1:28" ht="15.75" thickBo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</row>
    <row r="654" spans="1:28" ht="15.75" thickBo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</row>
    <row r="655" spans="1:28" ht="15.75" thickBo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</row>
    <row r="656" spans="1:28" ht="15.75" thickBo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</row>
    <row r="657" spans="1:28" ht="15.75" thickBo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</row>
    <row r="658" spans="1:28" ht="15.75" thickBo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</row>
    <row r="659" spans="1:28" ht="15.75" thickBo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</row>
    <row r="660" spans="1:28" ht="15.75" thickBo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</row>
    <row r="661" spans="1:28" ht="15.75" thickBo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</row>
    <row r="662" spans="1:28" ht="15.75" thickBo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</row>
    <row r="663" spans="1:28" ht="15.75" thickBo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</row>
    <row r="664" spans="1:28" ht="15.75" thickBo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</row>
    <row r="665" spans="1:28" ht="15.75" thickBo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</row>
    <row r="666" spans="1:28" ht="15.75" thickBo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</row>
    <row r="667" spans="1:28" ht="15.75" thickBo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</row>
    <row r="668" spans="1:28" ht="15.75" thickBo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</row>
    <row r="669" spans="1:28" ht="15.75" thickBo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</row>
    <row r="670" spans="1:28" ht="15.75" thickBo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</row>
    <row r="671" spans="1:28" ht="15.75" thickBo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</row>
    <row r="672" spans="1:28" ht="15.75" thickBo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</row>
    <row r="673" spans="1:28" ht="15.75" thickBo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</row>
    <row r="674" spans="1:28" ht="15.75" thickBo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</row>
    <row r="675" spans="1:28" ht="15.75" thickBo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</row>
    <row r="676" spans="1:28" ht="15.75" thickBo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</row>
    <row r="677" spans="1:28" ht="15.75" thickBo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</row>
    <row r="678" spans="1:28" ht="15.75" thickBo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</row>
    <row r="679" spans="1:28" ht="15.75" thickBo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</row>
    <row r="680" spans="1:28" ht="15.75" thickBo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</row>
    <row r="681" spans="1:28" ht="15.75" thickBo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</row>
    <row r="682" spans="1:28" ht="15.75" thickBo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</row>
    <row r="683" spans="1:28" ht="15.75" thickBo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</row>
    <row r="684" spans="1:28" ht="15.75" thickBo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</row>
    <row r="685" spans="1:28" ht="15.75" thickBo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</row>
    <row r="686" spans="1:28" ht="15.75" thickBo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</row>
    <row r="687" spans="1:28" ht="15.75" thickBo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</row>
    <row r="688" spans="1:28" ht="15.75" thickBo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</row>
    <row r="689" spans="1:28" ht="15.75" thickBo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</row>
    <row r="690" spans="1:28" ht="15.75" thickBo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</row>
    <row r="691" spans="1:28" ht="15.75" thickBo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</row>
    <row r="692" spans="1:28" ht="15.75" thickBo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</row>
    <row r="693" spans="1:28" ht="15.75" thickBo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</row>
    <row r="694" spans="1:28" ht="15.75" thickBo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</row>
    <row r="695" spans="1:28" ht="15.75" thickBo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</row>
    <row r="696" spans="1:28" ht="15.75" thickBo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</row>
    <row r="697" spans="1:28" ht="15.75" thickBo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</row>
    <row r="698" spans="1:28" ht="15.75" thickBo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</row>
    <row r="699" spans="1:28" ht="15.75" thickBo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</row>
    <row r="700" spans="1:28" ht="15.75" thickBo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</row>
    <row r="701" spans="1:28" ht="15.75" thickBo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</row>
    <row r="702" spans="1:28" ht="15.75" thickBo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</row>
    <row r="703" spans="1:28" ht="15.75" thickBo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</row>
    <row r="704" spans="1:28" ht="15.75" thickBo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</row>
    <row r="705" spans="1:28" ht="15.75" thickBo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</row>
    <row r="706" spans="1:28" ht="15.75" thickBo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</row>
    <row r="707" spans="1:28" ht="15.75" thickBo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</row>
    <row r="708" spans="1:28" ht="15.75" thickBo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</row>
    <row r="709" spans="1:28" ht="15.75" thickBo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</row>
    <row r="710" spans="1:28" ht="15.75" thickBo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</row>
    <row r="711" spans="1:28" ht="15.75" thickBo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</row>
    <row r="712" spans="1:28" ht="15.75" thickBo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</row>
    <row r="713" spans="1:28" ht="15.75" thickBo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</row>
    <row r="714" spans="1:28" ht="15.75" thickBo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</row>
    <row r="715" spans="1:28" ht="15.75" thickBo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</row>
    <row r="716" spans="1:28" ht="15.75" thickBo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</row>
    <row r="717" spans="1:28" ht="15.75" thickBo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</row>
    <row r="718" spans="1:28" ht="15.75" thickBo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</row>
    <row r="719" spans="1:28" ht="15.75" thickBo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</row>
    <row r="720" spans="1:28" ht="15.75" thickBo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</row>
    <row r="721" spans="1:28" ht="15.75" thickBo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</row>
    <row r="722" spans="1:28" ht="15.75" thickBo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</row>
    <row r="723" spans="1:28" ht="15.75" thickBo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</row>
    <row r="724" spans="1:28" ht="15.75" thickBo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</row>
    <row r="725" spans="1:28" ht="15.75" thickBo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</row>
    <row r="726" spans="1:28" ht="15.75" thickBo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</row>
    <row r="727" spans="1:28" ht="15.75" thickBo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</row>
    <row r="728" spans="1:28" ht="15.75" thickBo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</row>
    <row r="729" spans="1:28" ht="15.75" thickBo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</row>
    <row r="730" spans="1:28" ht="15.75" thickBo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</row>
    <row r="731" spans="1:28" ht="15.75" thickBo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</row>
    <row r="732" spans="1:28" ht="15.75" thickBo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</row>
    <row r="733" spans="1:28" ht="15.75" thickBo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</row>
    <row r="734" spans="1:28" ht="15.75" thickBo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</row>
    <row r="735" spans="1:28" ht="15.75" thickBo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</row>
    <row r="736" spans="1:28" ht="15.75" thickBo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</row>
    <row r="737" spans="1:28" ht="15.75" thickBo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</row>
    <row r="738" spans="1:28" ht="15.75" thickBo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</row>
    <row r="739" spans="1:28" ht="15.75" thickBo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</row>
    <row r="740" spans="1:28" ht="15.75" thickBo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</row>
    <row r="741" spans="1:28" ht="15.75" thickBo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</row>
    <row r="742" spans="1:28" ht="15.75" thickBo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</row>
    <row r="743" spans="1:28" ht="15.75" thickBo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</row>
    <row r="744" spans="1:28" ht="15.75" thickBo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</row>
    <row r="745" spans="1:28" ht="15.75" thickBo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</row>
    <row r="746" spans="1:28" ht="15.75" thickBo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</row>
    <row r="747" spans="1:28" ht="15.75" thickBo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</row>
    <row r="748" spans="1:28" ht="15.75" thickBo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</row>
    <row r="749" spans="1:28" ht="15.75" thickBo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</row>
    <row r="750" spans="1:28" ht="15.75" thickBo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</row>
    <row r="751" spans="1:28" ht="15.75" thickBo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</row>
    <row r="752" spans="1:28" ht="15.75" thickBo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</row>
    <row r="753" spans="1:28" ht="15.75" thickBo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</row>
    <row r="754" spans="1:28" ht="15.75" thickBo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</row>
    <row r="755" spans="1:28" ht="15.75" thickBo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</row>
    <row r="756" spans="1:28" ht="15.75" thickBo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</row>
    <row r="757" spans="1:28" ht="15.75" thickBo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</row>
    <row r="758" spans="1:28" ht="15.75" thickBo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</row>
    <row r="759" spans="1:28" ht="15.75" thickBo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</row>
    <row r="760" spans="1:28" ht="15.75" thickBo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</row>
    <row r="761" spans="1:28" ht="15.75" thickBo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</row>
    <row r="762" spans="1:28" ht="15.75" thickBo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</row>
    <row r="763" spans="1:28" ht="15.75" thickBo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</row>
    <row r="764" spans="1:28" ht="15.75" thickBo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</row>
    <row r="765" spans="1:28" ht="15.75" thickBo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</row>
    <row r="766" spans="1:28" ht="15.75" thickBo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</row>
    <row r="767" spans="1:28" ht="15.75" thickBo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</row>
    <row r="768" spans="1:28" ht="15.75" thickBo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</row>
    <row r="769" spans="1:28" ht="15.75" thickBo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</row>
    <row r="770" spans="1:28" ht="15.75" thickBo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</row>
    <row r="771" spans="1:28" ht="15.75" thickBo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</row>
    <row r="772" spans="1:28" ht="15.75" thickBo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</row>
    <row r="773" spans="1:28" ht="15.75" thickBo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</row>
    <row r="774" spans="1:28" ht="15.75" thickBo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</row>
    <row r="775" spans="1:28" ht="15.75" thickBo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</row>
    <row r="776" spans="1:28" ht="15.75" thickBo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</row>
    <row r="777" spans="1:28" ht="15.75" thickBo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</row>
    <row r="778" spans="1:28" ht="15.75" thickBo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</row>
    <row r="779" spans="1:28" ht="15.75" thickBo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</row>
    <row r="780" spans="1:28" ht="15.75" thickBo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</row>
    <row r="781" spans="1:28" ht="15.75" thickBo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</row>
    <row r="782" spans="1:28" ht="15.75" thickBo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</row>
    <row r="783" spans="1:28" ht="15.75" thickBo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</row>
    <row r="784" spans="1:28" ht="15.75" thickBo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</row>
    <row r="785" spans="1:28" ht="15.75" thickBo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</row>
    <row r="786" spans="1:28" ht="15.75" thickBo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</row>
    <row r="787" spans="1:28" ht="15.75" thickBo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</row>
    <row r="788" spans="1:28" ht="15.75" thickBo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</row>
    <row r="789" spans="1:28" ht="15.75" thickBo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</row>
    <row r="790" spans="1:28" ht="15.75" thickBo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</row>
    <row r="791" spans="1:28" ht="15.75" thickBo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</row>
    <row r="792" spans="1:28" ht="15.75" thickBo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</row>
    <row r="793" spans="1:28" ht="15.75" thickBo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</row>
    <row r="794" spans="1:28" ht="15.75" thickBo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</row>
    <row r="795" spans="1:28" ht="15.75" thickBo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</row>
    <row r="796" spans="1:28" ht="15.75" thickBo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</row>
    <row r="797" spans="1:28" ht="15.75" thickBo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</row>
    <row r="798" spans="1:28" ht="15.75" thickBo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</row>
    <row r="799" spans="1:28" ht="15.75" thickBo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</row>
    <row r="800" spans="1:28" ht="15.75" thickBo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</row>
    <row r="801" spans="1:28" ht="15.75" thickBo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</row>
    <row r="802" spans="1:28" ht="15.75" thickBo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</row>
    <row r="803" spans="1:28" ht="15.75" thickBo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</row>
    <row r="804" spans="1:28" ht="15.75" thickBo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</row>
    <row r="805" spans="1:28" ht="15.75" thickBo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</row>
    <row r="806" spans="1:28" ht="15.75" thickBo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</row>
    <row r="807" spans="1:28" ht="15.75" thickBo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</row>
    <row r="808" spans="1:28" ht="15.75" thickBo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</row>
    <row r="809" spans="1:28" ht="15.75" thickBo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</row>
    <row r="810" spans="1:28" ht="15.75" thickBo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</row>
    <row r="811" spans="1:28" ht="15.75" thickBo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</row>
    <row r="812" spans="1:28" ht="15.75" thickBo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</row>
    <row r="813" spans="1:28" ht="15.75" thickBo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</row>
    <row r="814" spans="1:28" ht="15.75" thickBo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</row>
    <row r="815" spans="1:28" ht="15.75" thickBo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</row>
    <row r="816" spans="1:28" ht="15.75" thickBo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</row>
    <row r="817" spans="1:28" ht="15.75" thickBo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</row>
    <row r="818" spans="1:28" ht="15.75" thickBo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</row>
    <row r="819" spans="1:28" ht="15.75" thickBo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</row>
    <row r="820" spans="1:28" ht="15.75" thickBo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</row>
    <row r="821" spans="1:28" ht="15.75" thickBo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</row>
    <row r="822" spans="1:28" ht="15.75" thickBo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</row>
    <row r="823" spans="1:28" ht="15.75" thickBo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</row>
    <row r="824" spans="1:28" ht="15.75" thickBo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</row>
    <row r="825" spans="1:28" ht="15.75" thickBo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</row>
    <row r="826" spans="1:28" ht="15.75" thickBo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</row>
    <row r="827" spans="1:28" ht="15.75" thickBo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</row>
    <row r="828" spans="1:28" ht="15.75" thickBo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</row>
    <row r="829" spans="1:28" ht="15.75" thickBo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</row>
    <row r="830" spans="1:28" ht="15.75" thickBo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</row>
    <row r="831" spans="1:28" ht="15.75" thickBo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</row>
    <row r="832" spans="1:28" ht="15.75" thickBo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</row>
    <row r="833" spans="1:28" ht="15.75" thickBo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</row>
    <row r="834" spans="1:28" ht="15.75" thickBo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</row>
    <row r="835" spans="1:28" ht="15.75" thickBo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</row>
    <row r="836" spans="1:28" ht="15.75" thickBo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</row>
    <row r="837" spans="1:28" ht="15.75" thickBo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</row>
    <row r="838" spans="1:28" ht="15.75" thickBo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</row>
    <row r="839" spans="1:28" ht="15.75" thickBo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</row>
    <row r="840" spans="1:28" ht="15.75" thickBo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</row>
    <row r="841" spans="1:28" ht="15.75" thickBo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</row>
    <row r="842" spans="1:28" ht="15.75" thickBo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</row>
    <row r="843" spans="1:28" ht="15.75" thickBo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</row>
    <row r="844" spans="1:28" ht="15.75" thickBo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</row>
    <row r="845" spans="1:28" ht="15.75" thickBo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</row>
    <row r="846" spans="1:28" ht="15.75" thickBo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</row>
    <row r="847" spans="1:28" ht="15.75" thickBo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</row>
    <row r="848" spans="1:28" ht="15.75" thickBo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</row>
    <row r="849" spans="1:28" ht="15.75" thickBo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</row>
    <row r="850" spans="1:28" ht="15.75" thickBo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</row>
    <row r="851" spans="1:28" ht="15.75" thickBo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</row>
    <row r="852" spans="1:28" ht="15.75" thickBo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</row>
    <row r="853" spans="1:28" ht="15.75" thickBo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</row>
    <row r="854" spans="1:28" ht="15.75" thickBo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</row>
    <row r="855" spans="1:28" ht="15.75" thickBo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</row>
    <row r="856" spans="1:28" ht="15.75" thickBo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</row>
    <row r="857" spans="1:28" ht="15.75" thickBo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</row>
    <row r="858" spans="1:28" ht="15.75" thickBo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</row>
    <row r="859" spans="1:28" ht="15.75" thickBo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</row>
    <row r="860" spans="1:28" ht="15.75" thickBo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</row>
    <row r="861" spans="1:28" ht="15.75" thickBo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</row>
    <row r="862" spans="1:28" ht="15.75" thickBo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</row>
    <row r="863" spans="1:28" ht="15.75" thickBo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</row>
    <row r="864" spans="1:28" ht="15.75" thickBo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</row>
    <row r="865" spans="1:28" ht="15.75" thickBo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</row>
    <row r="866" spans="1:28" ht="15.75" thickBo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</row>
    <row r="867" spans="1:28" ht="15.75" thickBo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</row>
    <row r="868" spans="1:28" ht="15.75" thickBo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</row>
    <row r="869" spans="1:28" ht="15.75" thickBo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</row>
    <row r="870" spans="1:28" ht="15.75" thickBo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</row>
    <row r="871" spans="1:28" ht="15.75" thickBo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</row>
    <row r="872" spans="1:28" ht="15.75" thickBo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</row>
    <row r="873" spans="1:28" ht="15.75" thickBo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</row>
    <row r="874" spans="1:28" ht="15.75" thickBo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</row>
    <row r="875" spans="1:28" ht="15.75" thickBo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</row>
    <row r="876" spans="1:28" ht="15.75" thickBo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</row>
    <row r="877" spans="1:28" ht="15.75" thickBo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</row>
    <row r="878" spans="1:28" ht="15.75" thickBo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</row>
    <row r="879" spans="1:28" ht="15.75" thickBo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</row>
    <row r="880" spans="1:28" ht="15.75" thickBo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</row>
    <row r="881" spans="1:28" ht="15.75" thickBo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</row>
    <row r="882" spans="1:28" ht="15.75" thickBo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</row>
    <row r="883" spans="1:28" ht="15.75" thickBo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</row>
    <row r="884" spans="1:28" ht="15.75" thickBo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</row>
    <row r="885" spans="1:28" ht="15.75" thickBo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</row>
    <row r="886" spans="1:28" ht="15.75" thickBo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</row>
    <row r="887" spans="1:28" ht="15.75" thickBo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</row>
    <row r="888" spans="1:28" ht="15.75" thickBo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</row>
    <row r="889" spans="1:28" ht="15.75" thickBo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</row>
    <row r="890" spans="1:28" ht="15.75" thickBo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</row>
    <row r="891" spans="1:28" ht="15.75" thickBo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</row>
    <row r="892" spans="1:28" ht="15.75" thickBo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</row>
    <row r="893" spans="1:28" ht="15.75" thickBo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</row>
    <row r="894" spans="1:28" ht="15.75" thickBo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</row>
    <row r="895" spans="1:28" ht="15.75" thickBo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</row>
    <row r="896" spans="1:28" ht="15.75" thickBo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</row>
    <row r="897" spans="1:28" ht="15.75" thickBo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</row>
    <row r="898" spans="1:28" ht="15.75" thickBo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</row>
    <row r="899" spans="1:28" ht="15.75" thickBo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</row>
    <row r="900" spans="1:28" ht="15.75" thickBo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</row>
    <row r="901" spans="1:28" ht="15.75" thickBo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</row>
    <row r="902" spans="1:28" ht="15.75" thickBo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</row>
    <row r="903" spans="1:28" ht="15.75" thickBo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</row>
    <row r="904" spans="1:28" ht="15.75" thickBo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</row>
    <row r="905" spans="1:28" ht="15.75" thickBo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</row>
    <row r="906" spans="1:28" ht="15.75" thickBo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</row>
    <row r="907" spans="1:28" ht="15.75" thickBo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</row>
    <row r="908" spans="1:28" ht="15.75" thickBo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</row>
    <row r="909" spans="1:28" ht="15.75" thickBo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</row>
    <row r="910" spans="1:28" ht="15.75" thickBo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</row>
    <row r="911" spans="1:28" ht="15.75" thickBo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</row>
    <row r="912" spans="1:28" ht="15.75" thickBo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</row>
    <row r="913" spans="1:28" ht="15.75" thickBo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</row>
    <row r="914" spans="1:28" ht="15.75" thickBo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</row>
    <row r="915" spans="1:28" ht="15.75" thickBo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</row>
    <row r="916" spans="1:28" ht="15.75" thickBo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</row>
    <row r="917" spans="1:28" ht="15.75" thickBo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</row>
    <row r="918" spans="1:28" ht="15.75" thickBo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</row>
    <row r="919" spans="1:28" ht="15.75" thickBo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</row>
    <row r="920" spans="1:28" ht="15.75" thickBo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</row>
    <row r="921" spans="1:28" ht="15.75" thickBo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</row>
    <row r="922" spans="1:28" ht="15.75" thickBo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</row>
    <row r="923" spans="1:28" ht="15.75" thickBo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</row>
    <row r="924" spans="1:28" ht="15.75" thickBo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</row>
    <row r="925" spans="1:28" ht="15.75" thickBo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</row>
    <row r="926" spans="1:28" ht="15.75" thickBo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</row>
    <row r="927" spans="1:28" ht="15.75" thickBo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</row>
    <row r="928" spans="1:28" ht="15.75" thickBo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</row>
    <row r="929" spans="1:28" ht="15.75" thickBo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</row>
    <row r="930" spans="1:28" ht="15.75" thickBo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</row>
    <row r="931" spans="1:28" ht="15.75" thickBo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</row>
    <row r="932" spans="1:28" ht="15.75" thickBo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</row>
    <row r="933" spans="1:28" ht="15.75" thickBo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</row>
    <row r="934" spans="1:28" ht="15.75" thickBo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</row>
    <row r="935" spans="1:28" ht="15.75" thickBo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</row>
    <row r="936" spans="1:28" ht="15.75" thickBo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</row>
    <row r="937" spans="1:28" ht="15.75" thickBo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</row>
    <row r="938" spans="1:28" ht="15.75" thickBo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</row>
    <row r="939" spans="1:28" ht="15.75" thickBo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</row>
    <row r="940" spans="1:28" ht="15.75" thickBo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</row>
    <row r="941" spans="1:28" ht="15.75" thickBo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</row>
    <row r="942" spans="1:28" ht="15.75" thickBo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</row>
    <row r="943" spans="1:28" ht="15.75" thickBo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</row>
    <row r="944" spans="1:28" ht="15.75" thickBo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</row>
    <row r="945" spans="1:28" ht="15.75" thickBo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</row>
    <row r="946" spans="1:28" ht="15.75" thickBo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</row>
    <row r="947" spans="1:28" ht="15.75" thickBo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</row>
    <row r="948" spans="1:28" ht="15.75" thickBo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</row>
    <row r="949" spans="1:28" ht="15.75" thickBo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</row>
    <row r="950" spans="1:28" ht="15.75" thickBo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</row>
    <row r="951" spans="1:28" ht="15.75" thickBo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</row>
    <row r="952" spans="1:28" ht="15.75" thickBo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</row>
    <row r="953" spans="1:28" ht="15.75" thickBo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</row>
    <row r="954" spans="1:28" ht="15.75" thickBo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</row>
    <row r="955" spans="1:28" ht="15.75" thickBo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</row>
    <row r="956" spans="1:28" ht="15.75" thickBo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</row>
    <row r="957" spans="1:28" ht="15.75" thickBo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</row>
    <row r="958" spans="1:28" ht="15.75" thickBo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</row>
    <row r="959" spans="1:28" ht="15.75" thickBo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</row>
    <row r="960" spans="1:28" ht="15.75" thickBo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</row>
    <row r="961" spans="1:28" ht="15.75" thickBo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</row>
    <row r="962" spans="1:28" ht="15.75" thickBo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</row>
    <row r="963" spans="1:28" ht="15.75" thickBo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</row>
    <row r="964" spans="1:28" ht="15.75" thickBo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</row>
    <row r="965" spans="1:28" ht="15.75" thickBo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</row>
    <row r="966" spans="1:28" ht="15.75" thickBo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</row>
    <row r="967" spans="1:28" ht="15.75" thickBo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</row>
    <row r="968" spans="1:28" ht="15.75" thickBo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</row>
    <row r="969" spans="1:28" ht="15.75" thickBo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</row>
    <row r="970" spans="1:28" ht="15.75" thickBo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</row>
    <row r="971" spans="1:28" ht="15.75" thickBo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</row>
    <row r="972" spans="1:28" ht="15.75" thickBo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</row>
    <row r="973" spans="1:28" ht="15.75" thickBo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</row>
    <row r="974" spans="1:28" ht="15.75" thickBo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</row>
    <row r="975" spans="1:28" ht="15.75" thickBo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</row>
    <row r="976" spans="1:28" ht="15.75" thickBo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</row>
    <row r="977" spans="1:28" ht="15.75" thickBo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</row>
    <row r="978" spans="1:28" ht="15.75" thickBo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</row>
    <row r="979" spans="1:28" ht="15.75" thickBo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</row>
    <row r="980" spans="1:28" ht="15.75" thickBo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</row>
    <row r="981" spans="1:28" ht="15.75" thickBo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</row>
    <row r="982" spans="1:28" ht="15.75" thickBo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</row>
    <row r="983" spans="1:28" ht="15.75" thickBo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</row>
    <row r="984" spans="1:28" ht="15.75" thickBo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</row>
    <row r="985" spans="1:28" ht="15.75" thickBo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</row>
    <row r="986" spans="1:28" ht="15.75" thickBo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</row>
    <row r="987" spans="1:28" ht="15.75" thickBo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</row>
    <row r="988" spans="1:28" ht="15.75" thickBo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</row>
    <row r="989" spans="1:28" ht="15.75" thickBo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</row>
    <row r="990" spans="1:28" ht="15.75" thickBo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</row>
    <row r="991" spans="1:28" ht="15.75" thickBo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</row>
    <row r="992" spans="1:28" ht="15.75" thickBo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</row>
    <row r="993" spans="1:28" ht="15.75" thickBo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</row>
    <row r="994" spans="1:28" ht="15.75" thickBo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</row>
    <row r="995" spans="1:28" ht="15.75" thickBo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</row>
    <row r="996" spans="1:28" ht="15.75" thickBo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</row>
    <row r="997" spans="1:28" ht="15.75" thickBo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</row>
    <row r="998" spans="1:28" ht="15.75" thickBo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</row>
    <row r="999" spans="1:28" ht="15.75" thickBo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</row>
    <row r="1000" spans="1:28" ht="15.75" thickBo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79"/>
  <sheetViews>
    <sheetView zoomScale="75" zoomScaleNormal="75" workbookViewId="0">
      <selection activeCell="M2" sqref="M2"/>
    </sheetView>
  </sheetViews>
  <sheetFormatPr baseColWidth="10" defaultRowHeight="15"/>
  <sheetData>
    <row r="1" spans="1:13" ht="24" thickBot="1">
      <c r="A1" t="s">
        <v>740</v>
      </c>
      <c r="B1" s="18" t="s">
        <v>598</v>
      </c>
      <c r="C1" s="29" t="s">
        <v>739</v>
      </c>
      <c r="D1" s="19" t="s">
        <v>391</v>
      </c>
      <c r="E1" s="19"/>
      <c r="F1" s="19" t="s">
        <v>599</v>
      </c>
      <c r="G1" s="19" t="s">
        <v>393</v>
      </c>
      <c r="H1" s="19" t="s">
        <v>600</v>
      </c>
      <c r="I1" s="19" t="s">
        <v>601</v>
      </c>
      <c r="J1" s="19" t="s">
        <v>602</v>
      </c>
      <c r="K1" s="19" t="s">
        <v>603</v>
      </c>
      <c r="L1" s="18" t="s">
        <v>741</v>
      </c>
    </row>
    <row r="2" spans="1:13" ht="30.75" thickBot="1">
      <c r="A2" t="str">
        <f>CONCATENATE(D2,E2,H2)</f>
        <v>SCatalán66</v>
      </c>
      <c r="B2" s="20" t="s">
        <v>604</v>
      </c>
      <c r="C2" s="30" t="str">
        <f>MID(B2,1,FIND(" ",B2,1)-1)</f>
        <v>Sergio</v>
      </c>
      <c r="D2" s="5" t="str">
        <f>MID(B2,1,1)</f>
        <v>S</v>
      </c>
      <c r="E2" s="30" t="str">
        <f>MID(F2,1,FIND(" ",F2,1)-1)</f>
        <v>Catalán</v>
      </c>
      <c r="F2" s="5" t="s">
        <v>605</v>
      </c>
      <c r="G2" s="21" t="s">
        <v>414</v>
      </c>
      <c r="H2" s="22">
        <v>66</v>
      </c>
      <c r="I2" s="5" t="s">
        <v>402</v>
      </c>
      <c r="J2" s="5" t="s">
        <v>401</v>
      </c>
      <c r="K2" s="5" t="s">
        <v>401</v>
      </c>
      <c r="L2" s="20" t="s">
        <v>401</v>
      </c>
      <c r="M2" s="17" t="str">
        <f>"INSERT INTO agresor (idAgresor, Nombre, Apellido, Edad, Ocupacion, Nacionalidad,Antecedentes) VALUES (' "&amp;A2&amp;" ',' "&amp;C2&amp;" ', ' "&amp;E2&amp;" ', "&amp;H2&amp;",' "&amp;K2&amp;" ',' "&amp;I2&amp;" ',' "&amp;L2&amp;" '); "</f>
        <v xml:space="preserve">INSERT INTO agresor (idAgresor, Nombre, Apellido, Edad, Ocupacion, Nacionalidad,Antecedentes) VALUES (' SCatalán66 ',' Sergio ', ' Catalán ', 66,' ND ',' Chilena ',' ND '); </v>
      </c>
    </row>
    <row r="3" spans="1:13" ht="15.75" thickBot="1">
      <c r="A3" t="str">
        <f t="shared" ref="A3:A66" si="0">CONCATENATE(D3,E3,H3)</f>
        <v>CCallata38</v>
      </c>
      <c r="B3" s="20" t="s">
        <v>606</v>
      </c>
      <c r="C3" s="30" t="str">
        <f>MID(B3,1,FIND(" ",B3,1)-1)</f>
        <v>Cirilo</v>
      </c>
      <c r="D3" s="5" t="str">
        <f t="shared" ref="D3:D66" si="1">MID(B3,1,1)</f>
        <v>C</v>
      </c>
      <c r="E3" s="30" t="str">
        <f>F3</f>
        <v>Callata</v>
      </c>
      <c r="F3" s="5" t="s">
        <v>607</v>
      </c>
      <c r="G3" s="21" t="s">
        <v>414</v>
      </c>
      <c r="H3" s="22">
        <v>38</v>
      </c>
      <c r="I3" s="5" t="s">
        <v>407</v>
      </c>
      <c r="J3" s="5" t="s">
        <v>401</v>
      </c>
      <c r="K3" s="5" t="s">
        <v>401</v>
      </c>
      <c r="L3" s="20" t="s">
        <v>401</v>
      </c>
      <c r="M3" s="17" t="str">
        <f t="shared" ref="M3:M66" si="2">"INSERT INTO agresor (idAgresor, Nombre, Apellido, Edad, Ocupacion, Nacionalidad,Antecedentes) VALUES (' "&amp;A3&amp;" ',' "&amp;C3&amp;" ', ' "&amp;E3&amp;" ', "&amp;H3&amp;",' "&amp;K3&amp;" ',' "&amp;I3&amp;" ',' "&amp;L3&amp;" '); "</f>
        <v xml:space="preserve">INSERT INTO agresor (idAgresor, Nombre, Apellido, Edad, Ocupacion, Nacionalidad,Antecedentes) VALUES (' CCallata38 ',' Cirilo ', ' Callata ', 38,' ND ',' Boliviana ',' ND '); </v>
      </c>
    </row>
    <row r="4" spans="1:13" ht="30.75" thickBot="1">
      <c r="A4" t="str">
        <f t="shared" si="0"/>
        <v>VVelasco0</v>
      </c>
      <c r="B4" s="20" t="s">
        <v>608</v>
      </c>
      <c r="C4" s="30" t="str">
        <f>MID(B4,1,FIND(" ",B4,1)-1)</f>
        <v>Victor</v>
      </c>
      <c r="D4" s="5" t="str">
        <f t="shared" si="1"/>
        <v>V</v>
      </c>
      <c r="E4" s="30" t="str">
        <f>F4</f>
        <v>Velasco</v>
      </c>
      <c r="F4" s="5" t="s">
        <v>609</v>
      </c>
      <c r="G4" s="21" t="s">
        <v>416</v>
      </c>
      <c r="H4" s="5">
        <v>0</v>
      </c>
      <c r="I4" s="5" t="s">
        <v>412</v>
      </c>
      <c r="J4" s="5" t="s">
        <v>401</v>
      </c>
      <c r="K4" s="5" t="s">
        <v>401</v>
      </c>
      <c r="L4" s="20" t="s">
        <v>401</v>
      </c>
      <c r="M4" s="17" t="str">
        <f t="shared" si="2"/>
        <v xml:space="preserve">INSERT INTO agresor (idAgresor, Nombre, Apellido, Edad, Ocupacion, Nacionalidad,Antecedentes) VALUES (' VVelasco0 ',' Victor ', ' Velasco ', 0,' ND ',' Colombiana ',' ND '); </v>
      </c>
    </row>
    <row r="5" spans="1:13" ht="15.75" thickBot="1">
      <c r="A5" t="str">
        <f t="shared" si="0"/>
        <v>SSilva45</v>
      </c>
      <c r="B5" s="20" t="s">
        <v>610</v>
      </c>
      <c r="C5" s="30" t="str">
        <f>B5</f>
        <v>Salomón</v>
      </c>
      <c r="D5" s="5" t="str">
        <f t="shared" si="1"/>
        <v>S</v>
      </c>
      <c r="E5" s="30" t="str">
        <f>MID(F5,1,FIND(" ",F5,1)-1)</f>
        <v>Silva</v>
      </c>
      <c r="F5" s="5" t="s">
        <v>611</v>
      </c>
      <c r="G5" s="21" t="s">
        <v>404</v>
      </c>
      <c r="H5" s="22">
        <v>45</v>
      </c>
      <c r="I5" s="5" t="s">
        <v>402</v>
      </c>
      <c r="J5" s="5" t="s">
        <v>401</v>
      </c>
      <c r="K5" s="5" t="s">
        <v>401</v>
      </c>
      <c r="L5" s="20" t="s">
        <v>401</v>
      </c>
      <c r="M5" s="17" t="str">
        <f t="shared" si="2"/>
        <v xml:space="preserve">INSERT INTO agresor (idAgresor, Nombre, Apellido, Edad, Ocupacion, Nacionalidad,Antecedentes) VALUES (' SSilva45 ',' Salomón ', ' Silva ', 45,' ND ',' Chilena ',' ND '); </v>
      </c>
    </row>
    <row r="6" spans="1:13" ht="15.75" thickBot="1">
      <c r="A6" t="str">
        <f t="shared" si="0"/>
        <v>JValenzuela25</v>
      </c>
      <c r="B6" s="20" t="s">
        <v>612</v>
      </c>
      <c r="C6" s="30" t="str">
        <f>B6</f>
        <v>José</v>
      </c>
      <c r="D6" s="5" t="str">
        <f t="shared" si="1"/>
        <v>J</v>
      </c>
      <c r="E6" s="30" t="str">
        <f>F6</f>
        <v>Valenzuela</v>
      </c>
      <c r="F6" s="5" t="s">
        <v>613</v>
      </c>
      <c r="G6" s="21" t="s">
        <v>416</v>
      </c>
      <c r="H6" s="22">
        <v>25</v>
      </c>
      <c r="I6" s="5" t="s">
        <v>402</v>
      </c>
      <c r="J6" s="5" t="s">
        <v>401</v>
      </c>
      <c r="K6" s="5" t="s">
        <v>401</v>
      </c>
      <c r="L6" s="20" t="s">
        <v>401</v>
      </c>
      <c r="M6" s="17" t="str">
        <f t="shared" si="2"/>
        <v xml:space="preserve">INSERT INTO agresor (idAgresor, Nombre, Apellido, Edad, Ocupacion, Nacionalidad,Antecedentes) VALUES (' JValenzuela25 ',' José ', ' Valenzuela ', 25,' ND ',' Chilena ',' ND '); </v>
      </c>
    </row>
    <row r="7" spans="1:13" ht="15.75" thickBot="1">
      <c r="A7" t="str">
        <f t="shared" si="0"/>
        <v>ARamirez28</v>
      </c>
      <c r="B7" s="23" t="s">
        <v>614</v>
      </c>
      <c r="C7" s="30" t="str">
        <f>B7</f>
        <v>Ariel</v>
      </c>
      <c r="D7" s="5" t="str">
        <f t="shared" si="1"/>
        <v>A</v>
      </c>
      <c r="E7" s="30" t="str">
        <f>F7</f>
        <v>Ramirez</v>
      </c>
      <c r="F7" s="24" t="s">
        <v>615</v>
      </c>
      <c r="G7" s="21" t="s">
        <v>428</v>
      </c>
      <c r="H7" s="25">
        <v>28</v>
      </c>
      <c r="I7" s="24" t="s">
        <v>402</v>
      </c>
      <c r="J7" s="5" t="s">
        <v>401</v>
      </c>
      <c r="K7" s="5" t="s">
        <v>401</v>
      </c>
      <c r="L7" s="20" t="s">
        <v>401</v>
      </c>
      <c r="M7" s="17" t="str">
        <f t="shared" si="2"/>
        <v xml:space="preserve">INSERT INTO agresor (idAgresor, Nombre, Apellido, Edad, Ocupacion, Nacionalidad,Antecedentes) VALUES (' ARamirez28 ',' Ariel ', ' Ramirez ', 28,' ND ',' Chilena ',' ND '); </v>
      </c>
    </row>
    <row r="8" spans="1:13" ht="30.75" thickBot="1">
      <c r="A8" t="str">
        <f t="shared" si="0"/>
        <v>JUrra53</v>
      </c>
      <c r="B8" s="20" t="s">
        <v>616</v>
      </c>
      <c r="C8" s="30" t="str">
        <f>MID(B8,1,FIND(" ",B8,1)-1)</f>
        <v>José</v>
      </c>
      <c r="D8" s="5" t="str">
        <f t="shared" si="1"/>
        <v>J</v>
      </c>
      <c r="E8" s="30" t="str">
        <f t="shared" ref="E8:E66" si="3">MID(F8,1,FIND(" ",F8,1)-1)</f>
        <v>Urra</v>
      </c>
      <c r="F8" s="5" t="s">
        <v>617</v>
      </c>
      <c r="G8" s="21" t="s">
        <v>508</v>
      </c>
      <c r="H8" s="22">
        <v>53</v>
      </c>
      <c r="I8" s="5" t="s">
        <v>402</v>
      </c>
      <c r="J8" s="5" t="s">
        <v>401</v>
      </c>
      <c r="K8" s="5" t="s">
        <v>401</v>
      </c>
      <c r="L8" s="20" t="s">
        <v>401</v>
      </c>
      <c r="M8" s="17" t="str">
        <f t="shared" si="2"/>
        <v xml:space="preserve">INSERT INTO agresor (idAgresor, Nombre, Apellido, Edad, Ocupacion, Nacionalidad,Antecedentes) VALUES (' JUrra53 ',' José ', ' Urra ', 53,' ND ',' Chilena ',' ND '); </v>
      </c>
    </row>
    <row r="9" spans="1:13" ht="30.75" thickBot="1">
      <c r="A9" t="str">
        <f t="shared" si="0"/>
        <v>SContreras28</v>
      </c>
      <c r="B9" s="20" t="s">
        <v>618</v>
      </c>
      <c r="C9" s="30" t="str">
        <f>B9</f>
        <v>Segundo</v>
      </c>
      <c r="D9" s="5" t="str">
        <f t="shared" si="1"/>
        <v>S</v>
      </c>
      <c r="E9" s="30" t="str">
        <f t="shared" si="3"/>
        <v>Contreras</v>
      </c>
      <c r="F9" s="5" t="s">
        <v>619</v>
      </c>
      <c r="G9" s="21" t="s">
        <v>414</v>
      </c>
      <c r="H9" s="22">
        <v>28</v>
      </c>
      <c r="I9" s="5" t="s">
        <v>402</v>
      </c>
      <c r="J9" s="5" t="s">
        <v>401</v>
      </c>
      <c r="K9" s="5" t="s">
        <v>401</v>
      </c>
      <c r="L9" s="20" t="s">
        <v>401</v>
      </c>
      <c r="M9" s="17" t="str">
        <f t="shared" si="2"/>
        <v xml:space="preserve">INSERT INTO agresor (idAgresor, Nombre, Apellido, Edad, Ocupacion, Nacionalidad,Antecedentes) VALUES (' SContreras28 ',' Segundo ', ' Contreras ', 28,' ND ',' Chilena ',' ND '); </v>
      </c>
    </row>
    <row r="10" spans="1:13" ht="15.75" thickBot="1">
      <c r="A10" t="str">
        <f t="shared" si="0"/>
        <v>RMallea39</v>
      </c>
      <c r="B10" s="20" t="s">
        <v>620</v>
      </c>
      <c r="C10" s="30" t="str">
        <f>B10</f>
        <v>Raul</v>
      </c>
      <c r="D10" s="5" t="str">
        <f t="shared" si="1"/>
        <v>R</v>
      </c>
      <c r="E10" s="30" t="str">
        <f>F10</f>
        <v>Mallea</v>
      </c>
      <c r="F10" s="5" t="s">
        <v>621</v>
      </c>
      <c r="G10" s="21" t="s">
        <v>418</v>
      </c>
      <c r="H10" s="22">
        <v>39</v>
      </c>
      <c r="I10" s="5" t="s">
        <v>402</v>
      </c>
      <c r="J10" s="5" t="s">
        <v>401</v>
      </c>
      <c r="K10" s="5" t="s">
        <v>401</v>
      </c>
      <c r="L10" s="20" t="s">
        <v>401</v>
      </c>
      <c r="M10" s="17" t="str">
        <f t="shared" si="2"/>
        <v xml:space="preserve">INSERT INTO agresor (idAgresor, Nombre, Apellido, Edad, Ocupacion, Nacionalidad,Antecedentes) VALUES (' RMallea39 ',' Raul ', ' Mallea ', 39,' ND ',' Chilena ',' ND '); </v>
      </c>
    </row>
    <row r="11" spans="1:13" ht="300.75" thickBot="1">
      <c r="A11" t="str">
        <f t="shared" si="0"/>
        <v>JParedes43</v>
      </c>
      <c r="B11" s="23" t="s">
        <v>622</v>
      </c>
      <c r="C11" s="30" t="str">
        <f t="shared" ref="C11:C18" si="4">MID(B11,1,FIND(" ",B11,1)-1)</f>
        <v>José</v>
      </c>
      <c r="D11" s="5" t="str">
        <f t="shared" si="1"/>
        <v>J</v>
      </c>
      <c r="E11" s="30" t="str">
        <f t="shared" si="3"/>
        <v>Paredes</v>
      </c>
      <c r="F11" s="24" t="s">
        <v>623</v>
      </c>
      <c r="G11" s="21" t="s">
        <v>400</v>
      </c>
      <c r="H11" s="22">
        <v>43</v>
      </c>
      <c r="I11" s="5" t="s">
        <v>402</v>
      </c>
      <c r="J11" s="5" t="s">
        <v>401</v>
      </c>
      <c r="K11" s="5" t="s">
        <v>401</v>
      </c>
      <c r="L11" s="20" t="s">
        <v>742</v>
      </c>
      <c r="M11" s="17" t="str">
        <f t="shared" si="2"/>
        <v xml:space="preserve">INSERT INTO agresor (idAgresor, Nombre, Apellido, Edad, Ocupacion, Nacionalidad,Antecedentes) VALUES (' JParedes43 ',' José ', ' Paredes ', 43,' ND ',' Chilena ',' tres condenas anteriores por delitos ocurridos en el contexto de violencia intrafamiliar en contra de la misma víctima e incluso una condena anterior por robo.
 '); </v>
      </c>
    </row>
    <row r="12" spans="1:13" ht="195.75" thickBot="1">
      <c r="A12" t="str">
        <f t="shared" si="0"/>
        <v>BTapia55</v>
      </c>
      <c r="B12" s="20" t="s">
        <v>624</v>
      </c>
      <c r="C12" s="30" t="str">
        <f t="shared" si="4"/>
        <v>Bernabé</v>
      </c>
      <c r="D12" s="5" t="str">
        <f t="shared" si="1"/>
        <v>B</v>
      </c>
      <c r="E12" s="30" t="str">
        <f t="shared" si="3"/>
        <v>Tapia</v>
      </c>
      <c r="F12" s="5" t="s">
        <v>625</v>
      </c>
      <c r="G12" s="21" t="s">
        <v>555</v>
      </c>
      <c r="H12" s="22">
        <v>55</v>
      </c>
      <c r="I12" s="5" t="s">
        <v>402</v>
      </c>
      <c r="J12" s="5" t="s">
        <v>401</v>
      </c>
      <c r="K12" s="5" t="s">
        <v>401</v>
      </c>
      <c r="L12" s="20" t="s">
        <v>743</v>
      </c>
      <c r="M12" s="17" t="str">
        <f t="shared" si="2"/>
        <v xml:space="preserve">INSERT INTO agresor (idAgresor, Nombre, Apellido, Edad, Ocupacion, Nacionalidad,Antecedentes) VALUES (' BTapia55 ',' Bernabé ', ' Tapia ', 55,' ND ',' Chilena ',' etención por los delitos de deserción en el año 1981, adulteración en el año 1997 y lesiones menos graves en 2008 '); </v>
      </c>
    </row>
    <row r="13" spans="1:13" ht="30.75" thickBot="1">
      <c r="A13" t="str">
        <f t="shared" si="0"/>
        <v>JRengifo60</v>
      </c>
      <c r="B13" s="20" t="s">
        <v>626</v>
      </c>
      <c r="C13" s="30" t="str">
        <f t="shared" si="4"/>
        <v>Joaquín</v>
      </c>
      <c r="D13" s="5" t="str">
        <f t="shared" si="1"/>
        <v>J</v>
      </c>
      <c r="E13" s="30" t="str">
        <f t="shared" si="3"/>
        <v>Rengifo</v>
      </c>
      <c r="F13" s="5" t="s">
        <v>627</v>
      </c>
      <c r="G13" s="21" t="s">
        <v>428</v>
      </c>
      <c r="H13" s="22">
        <v>60</v>
      </c>
      <c r="I13" s="5" t="s">
        <v>402</v>
      </c>
      <c r="J13" s="5" t="s">
        <v>401</v>
      </c>
      <c r="K13" s="5" t="s">
        <v>401</v>
      </c>
      <c r="L13" s="20" t="s">
        <v>401</v>
      </c>
      <c r="M13" s="17" t="str">
        <f t="shared" si="2"/>
        <v xml:space="preserve">INSERT INTO agresor (idAgresor, Nombre, Apellido, Edad, Ocupacion, Nacionalidad,Antecedentes) VALUES (' JRengifo60 ',' Joaquín ', ' Rengifo ', 60,' ND ',' Chilena ',' ND '); </v>
      </c>
    </row>
    <row r="14" spans="1:13" ht="30.75" thickBot="1">
      <c r="A14" t="str">
        <f t="shared" si="0"/>
        <v>JRojas32</v>
      </c>
      <c r="B14" s="20" t="s">
        <v>628</v>
      </c>
      <c r="C14" s="30" t="str">
        <f t="shared" si="4"/>
        <v>Jose</v>
      </c>
      <c r="D14" s="5" t="str">
        <f t="shared" si="1"/>
        <v>J</v>
      </c>
      <c r="E14" s="30" t="str">
        <f t="shared" si="3"/>
        <v>Rojas</v>
      </c>
      <c r="F14" s="5" t="s">
        <v>629</v>
      </c>
      <c r="G14" s="21" t="s">
        <v>428</v>
      </c>
      <c r="H14" s="22">
        <v>32</v>
      </c>
      <c r="I14" s="5" t="s">
        <v>402</v>
      </c>
      <c r="J14" s="5" t="s">
        <v>401</v>
      </c>
      <c r="K14" s="5" t="s">
        <v>401</v>
      </c>
      <c r="L14" s="20" t="s">
        <v>401</v>
      </c>
      <c r="M14" s="17" t="str">
        <f t="shared" si="2"/>
        <v xml:space="preserve">INSERT INTO agresor (idAgresor, Nombre, Apellido, Edad, Ocupacion, Nacionalidad,Antecedentes) VALUES (' JRojas32 ',' Jose ', ' Rojas ', 32,' ND ',' Chilena ',' ND '); </v>
      </c>
    </row>
    <row r="15" spans="1:13" ht="30.75" thickBot="1">
      <c r="A15" t="str">
        <f t="shared" si="0"/>
        <v>MVillanueva33</v>
      </c>
      <c r="B15" s="20" t="s">
        <v>630</v>
      </c>
      <c r="C15" s="30" t="str">
        <f t="shared" si="4"/>
        <v>Michael</v>
      </c>
      <c r="D15" s="5" t="str">
        <f t="shared" si="1"/>
        <v>M</v>
      </c>
      <c r="E15" s="30" t="str">
        <f t="shared" si="3"/>
        <v>Villanueva</v>
      </c>
      <c r="F15" s="5" t="s">
        <v>631</v>
      </c>
      <c r="G15" s="21" t="s">
        <v>416</v>
      </c>
      <c r="H15" s="22">
        <v>33</v>
      </c>
      <c r="I15" s="5" t="s">
        <v>402</v>
      </c>
      <c r="J15" s="5" t="s">
        <v>401</v>
      </c>
      <c r="K15" s="5" t="s">
        <v>401</v>
      </c>
      <c r="L15" s="20" t="s">
        <v>401</v>
      </c>
      <c r="M15" s="17" t="str">
        <f t="shared" si="2"/>
        <v xml:space="preserve">INSERT INTO agresor (idAgresor, Nombre, Apellido, Edad, Ocupacion, Nacionalidad,Antecedentes) VALUES (' MVillanueva33 ',' Michael ', ' Villanueva ', 33,' ND ',' Chilena ',' ND '); </v>
      </c>
    </row>
    <row r="16" spans="1:13" ht="30.75" thickBot="1">
      <c r="A16" t="str">
        <f t="shared" si="0"/>
        <v>AVidal29</v>
      </c>
      <c r="B16" s="20" t="s">
        <v>632</v>
      </c>
      <c r="C16" s="30" t="str">
        <f t="shared" si="4"/>
        <v>Ariel</v>
      </c>
      <c r="D16" s="5" t="str">
        <f t="shared" si="1"/>
        <v>A</v>
      </c>
      <c r="E16" s="30" t="str">
        <f t="shared" si="3"/>
        <v>Vidal</v>
      </c>
      <c r="F16" s="5" t="s">
        <v>633</v>
      </c>
      <c r="G16" s="21" t="s">
        <v>416</v>
      </c>
      <c r="H16" s="22">
        <v>29</v>
      </c>
      <c r="I16" s="5" t="s">
        <v>402</v>
      </c>
      <c r="J16" s="5" t="s">
        <v>401</v>
      </c>
      <c r="K16" s="5" t="s">
        <v>401</v>
      </c>
      <c r="L16" s="20" t="s">
        <v>401</v>
      </c>
      <c r="M16" s="17" t="str">
        <f t="shared" si="2"/>
        <v xml:space="preserve">INSERT INTO agresor (idAgresor, Nombre, Apellido, Edad, Ocupacion, Nacionalidad,Antecedentes) VALUES (' AVidal29 ',' Ariel ', ' Vidal ', 29,' ND ',' Chilena ',' ND '); </v>
      </c>
    </row>
    <row r="17" spans="1:13" ht="30.75" thickBot="1">
      <c r="A17" t="str">
        <f t="shared" si="0"/>
        <v>MVergara43</v>
      </c>
      <c r="B17" s="20" t="s">
        <v>634</v>
      </c>
      <c r="C17" s="30" t="str">
        <f t="shared" si="4"/>
        <v>Manuel</v>
      </c>
      <c r="D17" s="5" t="str">
        <f t="shared" si="1"/>
        <v>M</v>
      </c>
      <c r="E17" s="30" t="str">
        <f t="shared" si="3"/>
        <v>Vergara</v>
      </c>
      <c r="F17" s="5" t="s">
        <v>635</v>
      </c>
      <c r="G17" s="21" t="s">
        <v>416</v>
      </c>
      <c r="H17" s="22">
        <v>43</v>
      </c>
      <c r="I17" s="5" t="s">
        <v>402</v>
      </c>
      <c r="J17" s="5" t="s">
        <v>401</v>
      </c>
      <c r="K17" s="5" t="s">
        <v>401</v>
      </c>
      <c r="L17" s="20" t="s">
        <v>401</v>
      </c>
      <c r="M17" s="17" t="str">
        <f t="shared" si="2"/>
        <v xml:space="preserve">INSERT INTO agresor (idAgresor, Nombre, Apellido, Edad, Ocupacion, Nacionalidad,Antecedentes) VALUES (' MVergara43 ',' Manuel ', ' Vergara ', 43,' ND ',' Chilena ',' ND '); </v>
      </c>
    </row>
    <row r="18" spans="1:13" ht="30.75" thickBot="1">
      <c r="A18" t="str">
        <f t="shared" si="0"/>
        <v>OCastro67</v>
      </c>
      <c r="B18" s="20" t="s">
        <v>636</v>
      </c>
      <c r="C18" s="30" t="str">
        <f t="shared" si="4"/>
        <v>Oscar</v>
      </c>
      <c r="D18" s="5" t="str">
        <f t="shared" si="1"/>
        <v>O</v>
      </c>
      <c r="E18" s="30" t="str">
        <f t="shared" si="3"/>
        <v>Castro</v>
      </c>
      <c r="F18" s="5" t="s">
        <v>637</v>
      </c>
      <c r="G18" s="21" t="s">
        <v>414</v>
      </c>
      <c r="H18" s="22">
        <v>67</v>
      </c>
      <c r="I18" s="5" t="s">
        <v>402</v>
      </c>
      <c r="J18" s="5" t="s">
        <v>638</v>
      </c>
      <c r="K18" s="5" t="s">
        <v>401</v>
      </c>
      <c r="L18" s="20" t="s">
        <v>401</v>
      </c>
      <c r="M18" s="17" t="str">
        <f t="shared" si="2"/>
        <v xml:space="preserve">INSERT INTO agresor (idAgresor, Nombre, Apellido, Edad, Ocupacion, Nacionalidad,Antecedentes) VALUES (' OCastro67 ',' Oscar ', ' Castro ', 67,' ND ',' Chilena ',' ND '); </v>
      </c>
    </row>
    <row r="19" spans="1:13" ht="30.75" thickBot="1">
      <c r="A19" t="str">
        <f t="shared" si="0"/>
        <v>CFernández34</v>
      </c>
      <c r="B19" s="20" t="s">
        <v>639</v>
      </c>
      <c r="C19" s="30" t="str">
        <f>B19</f>
        <v>César</v>
      </c>
      <c r="D19" s="5" t="str">
        <f t="shared" si="1"/>
        <v>C</v>
      </c>
      <c r="E19" s="30" t="str">
        <f t="shared" si="3"/>
        <v>Fernández</v>
      </c>
      <c r="F19" s="5" t="s">
        <v>640</v>
      </c>
      <c r="G19" s="21" t="s">
        <v>424</v>
      </c>
      <c r="H19" s="22">
        <v>34</v>
      </c>
      <c r="I19" s="5" t="s">
        <v>402</v>
      </c>
      <c r="J19" s="5" t="s">
        <v>401</v>
      </c>
      <c r="K19" s="5" t="s">
        <v>401</v>
      </c>
      <c r="L19" s="20" t="s">
        <v>401</v>
      </c>
      <c r="M19" s="17" t="str">
        <f t="shared" si="2"/>
        <v xml:space="preserve">INSERT INTO agresor (idAgresor, Nombre, Apellido, Edad, Ocupacion, Nacionalidad,Antecedentes) VALUES (' CFernández34 ',' César ', ' Fernández ', 34,' ND ',' Chilena ',' ND '); </v>
      </c>
    </row>
    <row r="20" spans="1:13" ht="30.75" thickBot="1">
      <c r="A20" t="str">
        <f t="shared" si="0"/>
        <v>CVillalba64</v>
      </c>
      <c r="B20" s="20" t="s">
        <v>641</v>
      </c>
      <c r="C20" s="30" t="str">
        <f t="shared" ref="C20:C25" si="5">B20</f>
        <v>Cosme</v>
      </c>
      <c r="D20" s="5" t="str">
        <f t="shared" si="1"/>
        <v>C</v>
      </c>
      <c r="E20" s="30" t="str">
        <f t="shared" si="3"/>
        <v>Villalba</v>
      </c>
      <c r="F20" s="5" t="s">
        <v>642</v>
      </c>
      <c r="G20" s="21" t="s">
        <v>416</v>
      </c>
      <c r="H20" s="22">
        <v>64</v>
      </c>
      <c r="I20" s="5" t="s">
        <v>402</v>
      </c>
      <c r="J20" s="5" t="s">
        <v>401</v>
      </c>
      <c r="K20" s="5" t="s">
        <v>401</v>
      </c>
      <c r="L20" s="20" t="s">
        <v>401</v>
      </c>
      <c r="M20" s="17" t="str">
        <f t="shared" si="2"/>
        <v xml:space="preserve">INSERT INTO agresor (idAgresor, Nombre, Apellido, Edad, Ocupacion, Nacionalidad,Antecedentes) VALUES (' CVillalba64 ',' Cosme ', ' Villalba ', 64,' ND ',' Chilena ',' ND '); </v>
      </c>
    </row>
    <row r="21" spans="1:13" ht="15.75" thickBot="1">
      <c r="A21" t="str">
        <f t="shared" si="0"/>
        <v>NND32</v>
      </c>
      <c r="B21" s="20" t="s">
        <v>401</v>
      </c>
      <c r="C21" s="30" t="str">
        <f t="shared" si="5"/>
        <v>ND</v>
      </c>
      <c r="D21" s="5" t="str">
        <f t="shared" si="1"/>
        <v>N</v>
      </c>
      <c r="E21" s="30" t="str">
        <f>F21</f>
        <v>ND</v>
      </c>
      <c r="F21" s="5" t="s">
        <v>401</v>
      </c>
      <c r="G21" s="21" t="s">
        <v>406</v>
      </c>
      <c r="H21" s="22">
        <v>32</v>
      </c>
      <c r="I21" s="5" t="s">
        <v>402</v>
      </c>
      <c r="J21" s="5" t="s">
        <v>401</v>
      </c>
      <c r="K21" s="5" t="s">
        <v>401</v>
      </c>
      <c r="L21" s="20" t="s">
        <v>401</v>
      </c>
      <c r="M21" s="17" t="str">
        <f t="shared" si="2"/>
        <v xml:space="preserve">INSERT INTO agresor (idAgresor, Nombre, Apellido, Edad, Ocupacion, Nacionalidad,Antecedentes) VALUES (' NND32 ',' ND ', ' ND ', 32,' ND ',' Chilena ',' ND '); </v>
      </c>
    </row>
    <row r="22" spans="1:13" ht="30.75" thickBot="1">
      <c r="A22" t="str">
        <f t="shared" si="0"/>
        <v>JMuñoz33</v>
      </c>
      <c r="B22" s="20" t="s">
        <v>612</v>
      </c>
      <c r="C22" s="30" t="str">
        <f t="shared" si="5"/>
        <v>José</v>
      </c>
      <c r="D22" s="5" t="str">
        <f t="shared" si="1"/>
        <v>J</v>
      </c>
      <c r="E22" s="30" t="str">
        <f t="shared" si="3"/>
        <v>Muñoz</v>
      </c>
      <c r="F22" s="5" t="s">
        <v>643</v>
      </c>
      <c r="G22" s="21" t="s">
        <v>418</v>
      </c>
      <c r="H22" s="22">
        <v>33</v>
      </c>
      <c r="I22" s="5" t="s">
        <v>402</v>
      </c>
      <c r="J22" s="5" t="s">
        <v>401</v>
      </c>
      <c r="K22" s="5" t="s">
        <v>401</v>
      </c>
      <c r="L22" s="20" t="s">
        <v>401</v>
      </c>
      <c r="M22" s="17" t="str">
        <f t="shared" si="2"/>
        <v xml:space="preserve">INSERT INTO agresor (idAgresor, Nombre, Apellido, Edad, Ocupacion, Nacionalidad,Antecedentes) VALUES (' JMuñoz33 ',' José ', ' Muñoz ', 33,' ND ',' Chilena ',' ND '); </v>
      </c>
    </row>
    <row r="23" spans="1:13" ht="30.75" thickBot="1">
      <c r="A23" t="str">
        <f t="shared" si="0"/>
        <v>MDomigual66</v>
      </c>
      <c r="B23" s="20" t="s">
        <v>644</v>
      </c>
      <c r="C23" s="30" t="str">
        <f t="shared" si="5"/>
        <v>Mario</v>
      </c>
      <c r="D23" s="5" t="str">
        <f t="shared" si="1"/>
        <v>M</v>
      </c>
      <c r="E23" s="30" t="str">
        <f t="shared" si="3"/>
        <v>Domigual</v>
      </c>
      <c r="F23" s="5" t="s">
        <v>645</v>
      </c>
      <c r="G23" s="21" t="s">
        <v>452</v>
      </c>
      <c r="H23" s="22">
        <v>66</v>
      </c>
      <c r="I23" s="5" t="s">
        <v>402</v>
      </c>
      <c r="J23" s="5" t="s">
        <v>401</v>
      </c>
      <c r="K23" s="5" t="s">
        <v>401</v>
      </c>
      <c r="L23" s="20" t="s">
        <v>401</v>
      </c>
      <c r="M23" s="17" t="str">
        <f t="shared" si="2"/>
        <v xml:space="preserve">INSERT INTO agresor (idAgresor, Nombre, Apellido, Edad, Ocupacion, Nacionalidad,Antecedentes) VALUES (' MDomigual66 ',' Mario ', ' Domigual ', 66,' ND ',' Chilena ',' ND '); </v>
      </c>
    </row>
    <row r="24" spans="1:13" ht="30.75" thickBot="1">
      <c r="A24" t="str">
        <f t="shared" si="0"/>
        <v>JNuracami56</v>
      </c>
      <c r="B24" s="20" t="s">
        <v>646</v>
      </c>
      <c r="C24" s="30" t="str">
        <f t="shared" si="5"/>
        <v>Juan</v>
      </c>
      <c r="D24" s="5" t="str">
        <f t="shared" si="1"/>
        <v>J</v>
      </c>
      <c r="E24" s="30" t="str">
        <f t="shared" si="3"/>
        <v>Nuracami</v>
      </c>
      <c r="F24" s="5" t="s">
        <v>647</v>
      </c>
      <c r="G24" s="21" t="s">
        <v>406</v>
      </c>
      <c r="H24" s="22">
        <v>56</v>
      </c>
      <c r="I24" s="5" t="s">
        <v>556</v>
      </c>
      <c r="J24" s="5" t="s">
        <v>401</v>
      </c>
      <c r="K24" s="5" t="s">
        <v>401</v>
      </c>
      <c r="L24" s="20" t="s">
        <v>401</v>
      </c>
      <c r="M24" s="17" t="str">
        <f t="shared" si="2"/>
        <v xml:space="preserve">INSERT INTO agresor (idAgresor, Nombre, Apellido, Edad, Ocupacion, Nacionalidad,Antecedentes) VALUES (' JNuracami56 ',' Juan ', ' Nuracami ', 56,' ND ',' Peruana ',' ND '); </v>
      </c>
    </row>
    <row r="25" spans="1:13" ht="30.75" thickBot="1">
      <c r="A25" t="str">
        <f t="shared" si="0"/>
        <v>LTorres0</v>
      </c>
      <c r="B25" s="20" t="s">
        <v>648</v>
      </c>
      <c r="C25" s="30" t="str">
        <f t="shared" si="5"/>
        <v>Luis</v>
      </c>
      <c r="D25" s="5" t="str">
        <f t="shared" si="1"/>
        <v>L</v>
      </c>
      <c r="E25" s="30" t="str">
        <f t="shared" si="3"/>
        <v>Torres</v>
      </c>
      <c r="F25" s="5" t="s">
        <v>649</v>
      </c>
      <c r="G25" s="21" t="s">
        <v>555</v>
      </c>
      <c r="H25" s="5">
        <v>0</v>
      </c>
      <c r="I25" s="5" t="s">
        <v>402</v>
      </c>
      <c r="J25" s="5" t="s">
        <v>401</v>
      </c>
      <c r="K25" s="5" t="s">
        <v>401</v>
      </c>
      <c r="L25" s="20" t="s">
        <v>401</v>
      </c>
      <c r="M25" s="17" t="str">
        <f t="shared" si="2"/>
        <v xml:space="preserve">INSERT INTO agresor (idAgresor, Nombre, Apellido, Edad, Ocupacion, Nacionalidad,Antecedentes) VALUES (' LTorres0 ',' Luis ', ' Torres ', 0,' ND ',' Chilena ',' ND '); </v>
      </c>
    </row>
    <row r="26" spans="1:13" ht="30.75" thickBot="1">
      <c r="A26" t="str">
        <f t="shared" si="0"/>
        <v>GLoza26</v>
      </c>
      <c r="B26" s="20" t="s">
        <v>650</v>
      </c>
      <c r="C26" s="30" t="str">
        <f>MID(B26,1,FIND(" ",B26,1)-1)</f>
        <v>Gabriel</v>
      </c>
      <c r="D26" s="5" t="str">
        <f t="shared" si="1"/>
        <v>G</v>
      </c>
      <c r="E26" s="30" t="str">
        <f t="shared" si="3"/>
        <v>Loza</v>
      </c>
      <c r="F26" s="5" t="s">
        <v>651</v>
      </c>
      <c r="G26" s="21" t="s">
        <v>409</v>
      </c>
      <c r="H26" s="22">
        <v>26</v>
      </c>
      <c r="I26" s="5" t="s">
        <v>402</v>
      </c>
      <c r="J26" s="5" t="s">
        <v>401</v>
      </c>
      <c r="K26" s="5" t="s">
        <v>401</v>
      </c>
      <c r="L26" s="20" t="s">
        <v>401</v>
      </c>
      <c r="M26" s="17" t="str">
        <f t="shared" si="2"/>
        <v xml:space="preserve">INSERT INTO agresor (idAgresor, Nombre, Apellido, Edad, Ocupacion, Nacionalidad,Antecedentes) VALUES (' GLoza26 ',' Gabriel ', ' Loza ', 26,' ND ',' Chilena ',' ND '); </v>
      </c>
    </row>
    <row r="27" spans="1:13" ht="30.75" thickBot="1">
      <c r="A27" t="str">
        <f t="shared" si="0"/>
        <v>STorres52</v>
      </c>
      <c r="B27" s="20" t="s">
        <v>652</v>
      </c>
      <c r="C27" s="30" t="str">
        <f>B27</f>
        <v>Sergio</v>
      </c>
      <c r="D27" s="5" t="str">
        <f t="shared" si="1"/>
        <v>S</v>
      </c>
      <c r="E27" s="30" t="str">
        <f t="shared" si="3"/>
        <v>Torres</v>
      </c>
      <c r="F27" s="5" t="s">
        <v>653</v>
      </c>
      <c r="G27" s="21" t="s">
        <v>555</v>
      </c>
      <c r="H27" s="22">
        <v>52</v>
      </c>
      <c r="I27" s="5" t="s">
        <v>402</v>
      </c>
      <c r="J27" s="5" t="s">
        <v>401</v>
      </c>
      <c r="K27" s="5" t="s">
        <v>401</v>
      </c>
      <c r="L27" s="20" t="s">
        <v>401</v>
      </c>
      <c r="M27" s="17" t="str">
        <f t="shared" si="2"/>
        <v xml:space="preserve">INSERT INTO agresor (idAgresor, Nombre, Apellido, Edad, Ocupacion, Nacionalidad,Antecedentes) VALUES (' STorres52 ',' Sergio ', ' Torres ', 52,' ND ',' Chilena ',' ND '); </v>
      </c>
    </row>
    <row r="28" spans="1:13" ht="30.75" thickBot="1">
      <c r="A28" t="str">
        <f t="shared" si="0"/>
        <v>MLillo19</v>
      </c>
      <c r="B28" s="20" t="s">
        <v>654</v>
      </c>
      <c r="C28" s="30" t="str">
        <f>MID(B28,1,FIND(" ",B28,1)-1)</f>
        <v>Michaelle</v>
      </c>
      <c r="D28" s="5" t="str">
        <f t="shared" si="1"/>
        <v>M</v>
      </c>
      <c r="E28" s="30" t="str">
        <f t="shared" si="3"/>
        <v>Lillo</v>
      </c>
      <c r="F28" s="5" t="s">
        <v>655</v>
      </c>
      <c r="G28" s="21" t="s">
        <v>409</v>
      </c>
      <c r="H28" s="22">
        <v>19</v>
      </c>
      <c r="I28" s="5" t="s">
        <v>402</v>
      </c>
      <c r="J28" s="5" t="s">
        <v>401</v>
      </c>
      <c r="K28" s="5" t="s">
        <v>401</v>
      </c>
      <c r="L28" s="20" t="s">
        <v>401</v>
      </c>
      <c r="M28" s="17" t="str">
        <f t="shared" si="2"/>
        <v xml:space="preserve">INSERT INTO agresor (idAgresor, Nombre, Apellido, Edad, Ocupacion, Nacionalidad,Antecedentes) VALUES (' MLillo19 ',' Michaelle ', ' Lillo ', 19,' ND ',' Chilena ',' ND '); </v>
      </c>
    </row>
    <row r="29" spans="1:13" ht="30.75" thickBot="1">
      <c r="A29" t="str">
        <f t="shared" si="0"/>
        <v>RPacheco43</v>
      </c>
      <c r="B29" s="20" t="s">
        <v>656</v>
      </c>
      <c r="C29" s="30" t="str">
        <f>B29</f>
        <v>René</v>
      </c>
      <c r="D29" s="5" t="str">
        <f t="shared" si="1"/>
        <v>R</v>
      </c>
      <c r="E29" s="30" t="str">
        <f t="shared" si="3"/>
        <v>Pacheco</v>
      </c>
      <c r="F29" s="5" t="s">
        <v>657</v>
      </c>
      <c r="G29" s="21" t="s">
        <v>400</v>
      </c>
      <c r="H29" s="22">
        <v>43</v>
      </c>
      <c r="I29" s="5" t="s">
        <v>402</v>
      </c>
      <c r="J29" s="24" t="s">
        <v>658</v>
      </c>
      <c r="K29" s="5" t="s">
        <v>401</v>
      </c>
      <c r="L29" s="20" t="s">
        <v>401</v>
      </c>
      <c r="M29" s="17" t="str">
        <f t="shared" si="2"/>
        <v xml:space="preserve">INSERT INTO agresor (idAgresor, Nombre, Apellido, Edad, Ocupacion, Nacionalidad,Antecedentes) VALUES (' RPacheco43 ',' René ', ' Pacheco ', 43,' ND ',' Chilena ',' ND '); </v>
      </c>
    </row>
    <row r="30" spans="1:13" ht="30.75" thickBot="1">
      <c r="A30" t="str">
        <f t="shared" si="0"/>
        <v>YSerón27</v>
      </c>
      <c r="B30" s="23" t="s">
        <v>659</v>
      </c>
      <c r="C30" s="30" t="str">
        <f t="shared" ref="C30:C35" si="6">MID(B30,1,FIND(" ",B30,1)-1)</f>
        <v>Yonathan</v>
      </c>
      <c r="D30" s="5" t="str">
        <f t="shared" si="1"/>
        <v>Y</v>
      </c>
      <c r="E30" s="30" t="str">
        <f t="shared" si="3"/>
        <v>Serón</v>
      </c>
      <c r="F30" s="24" t="s">
        <v>660</v>
      </c>
      <c r="G30" s="21" t="s">
        <v>404</v>
      </c>
      <c r="H30" s="22">
        <v>27</v>
      </c>
      <c r="I30" s="5" t="s">
        <v>402</v>
      </c>
      <c r="J30" s="5" t="s">
        <v>401</v>
      </c>
      <c r="K30" s="5" t="s">
        <v>401</v>
      </c>
      <c r="L30" s="20" t="s">
        <v>401</v>
      </c>
      <c r="M30" s="17" t="str">
        <f t="shared" si="2"/>
        <v xml:space="preserve">INSERT INTO agresor (idAgresor, Nombre, Apellido, Edad, Ocupacion, Nacionalidad,Antecedentes) VALUES (' YSerón27 ',' Yonathan ', ' Serón ', 27,' ND ',' Chilena ',' ND '); </v>
      </c>
    </row>
    <row r="31" spans="1:13" ht="30.75" thickBot="1">
      <c r="A31" t="str">
        <f t="shared" si="0"/>
        <v>GAtenas33</v>
      </c>
      <c r="B31" s="20" t="s">
        <v>661</v>
      </c>
      <c r="C31" s="30" t="str">
        <f t="shared" si="6"/>
        <v>Guillermo</v>
      </c>
      <c r="D31" s="5" t="str">
        <f t="shared" si="1"/>
        <v>G</v>
      </c>
      <c r="E31" s="30" t="str">
        <f t="shared" si="3"/>
        <v>Atenas</v>
      </c>
      <c r="F31" s="5" t="s">
        <v>662</v>
      </c>
      <c r="G31" s="21" t="s">
        <v>426</v>
      </c>
      <c r="H31" s="22">
        <v>33</v>
      </c>
      <c r="I31" s="5" t="s">
        <v>402</v>
      </c>
      <c r="J31" s="5" t="s">
        <v>401</v>
      </c>
      <c r="K31" s="5" t="s">
        <v>401</v>
      </c>
      <c r="L31" s="20" t="s">
        <v>401</v>
      </c>
      <c r="M31" s="17" t="str">
        <f t="shared" si="2"/>
        <v xml:space="preserve">INSERT INTO agresor (idAgresor, Nombre, Apellido, Edad, Ocupacion, Nacionalidad,Antecedentes) VALUES (' GAtenas33 ',' Guillermo ', ' Atenas ', 33,' ND ',' Chilena ',' ND '); </v>
      </c>
    </row>
    <row r="32" spans="1:13" ht="30.75" thickBot="1">
      <c r="A32" t="str">
        <f t="shared" si="0"/>
        <v>ALarrondo31</v>
      </c>
      <c r="B32" s="20" t="s">
        <v>663</v>
      </c>
      <c r="C32" s="30" t="str">
        <f t="shared" si="6"/>
        <v>Amable</v>
      </c>
      <c r="D32" s="5" t="str">
        <f t="shared" si="1"/>
        <v>A</v>
      </c>
      <c r="E32" s="30" t="str">
        <f t="shared" si="3"/>
        <v>Larrondo</v>
      </c>
      <c r="F32" s="5" t="s">
        <v>664</v>
      </c>
      <c r="G32" s="21" t="s">
        <v>409</v>
      </c>
      <c r="H32" s="22">
        <v>31</v>
      </c>
      <c r="I32" s="5" t="s">
        <v>402</v>
      </c>
      <c r="J32" s="5" t="s">
        <v>401</v>
      </c>
      <c r="K32" s="5" t="s">
        <v>401</v>
      </c>
      <c r="L32" s="20" t="s">
        <v>401</v>
      </c>
      <c r="M32" s="17" t="str">
        <f t="shared" si="2"/>
        <v xml:space="preserve">INSERT INTO agresor (idAgresor, Nombre, Apellido, Edad, Ocupacion, Nacionalidad,Antecedentes) VALUES (' ALarrondo31 ',' Amable ', ' Larrondo ', 31,' ND ',' Chilena ',' ND '); </v>
      </c>
    </row>
    <row r="33" spans="1:13" ht="15.75" thickBot="1">
      <c r="A33" t="str">
        <f t="shared" si="0"/>
        <v>JIlabaca26</v>
      </c>
      <c r="B33" s="20" t="s">
        <v>665</v>
      </c>
      <c r="C33" s="30" t="str">
        <f t="shared" si="6"/>
        <v>José</v>
      </c>
      <c r="D33" s="5" t="str">
        <f t="shared" si="1"/>
        <v>J</v>
      </c>
      <c r="E33" s="30" t="str">
        <f>F33</f>
        <v>Ilabaca</v>
      </c>
      <c r="F33" s="5" t="s">
        <v>666</v>
      </c>
      <c r="G33" s="21" t="s">
        <v>398</v>
      </c>
      <c r="H33" s="22">
        <v>26</v>
      </c>
      <c r="I33" s="5" t="s">
        <v>402</v>
      </c>
      <c r="J33" s="5" t="s">
        <v>401</v>
      </c>
      <c r="K33" s="5" t="s">
        <v>401</v>
      </c>
      <c r="L33" s="20" t="s">
        <v>401</v>
      </c>
      <c r="M33" s="17" t="str">
        <f t="shared" si="2"/>
        <v xml:space="preserve">INSERT INTO agresor (idAgresor, Nombre, Apellido, Edad, Ocupacion, Nacionalidad,Antecedentes) VALUES (' JIlabaca26 ',' José ', ' Ilabaca ', 26,' ND ',' Chilena ',' ND '); </v>
      </c>
    </row>
    <row r="34" spans="1:13" ht="30.75" thickBot="1">
      <c r="A34" t="str">
        <f t="shared" si="0"/>
        <v>JVergara53</v>
      </c>
      <c r="B34" s="20" t="s">
        <v>667</v>
      </c>
      <c r="C34" s="30" t="str">
        <f t="shared" si="6"/>
        <v>Juan</v>
      </c>
      <c r="D34" s="5" t="str">
        <f t="shared" si="1"/>
        <v>J</v>
      </c>
      <c r="E34" s="30" t="str">
        <f t="shared" si="3"/>
        <v>Vergara</v>
      </c>
      <c r="F34" s="5" t="s">
        <v>668</v>
      </c>
      <c r="G34" s="21" t="s">
        <v>416</v>
      </c>
      <c r="H34" s="22">
        <v>53</v>
      </c>
      <c r="I34" s="5" t="s">
        <v>402</v>
      </c>
      <c r="J34" s="5" t="s">
        <v>401</v>
      </c>
      <c r="K34" s="5" t="s">
        <v>401</v>
      </c>
      <c r="L34" s="20" t="s">
        <v>401</v>
      </c>
      <c r="M34" s="17" t="str">
        <f t="shared" si="2"/>
        <v xml:space="preserve">INSERT INTO agresor (idAgresor, Nombre, Apellido, Edad, Ocupacion, Nacionalidad,Antecedentes) VALUES (' JVergara53 ',' Juan ', ' Vergara ', 53,' ND ',' Chilena ',' ND '); </v>
      </c>
    </row>
    <row r="35" spans="1:13" ht="30.75" thickBot="1">
      <c r="A35" t="str">
        <f t="shared" si="0"/>
        <v>PJalife55</v>
      </c>
      <c r="B35" s="20" t="s">
        <v>669</v>
      </c>
      <c r="C35" s="30" t="str">
        <f t="shared" si="6"/>
        <v>Pablo</v>
      </c>
      <c r="D35" s="5" t="str">
        <f t="shared" si="1"/>
        <v>P</v>
      </c>
      <c r="E35" s="30" t="str">
        <f t="shared" si="3"/>
        <v>Jalife</v>
      </c>
      <c r="F35" s="5" t="s">
        <v>670</v>
      </c>
      <c r="G35" s="21" t="s">
        <v>463</v>
      </c>
      <c r="H35" s="22">
        <v>55</v>
      </c>
      <c r="I35" s="5" t="s">
        <v>402</v>
      </c>
      <c r="J35" s="5" t="s">
        <v>401</v>
      </c>
      <c r="K35" s="5" t="s">
        <v>401</v>
      </c>
      <c r="L35" s="20" t="s">
        <v>401</v>
      </c>
      <c r="M35" s="17" t="str">
        <f t="shared" si="2"/>
        <v xml:space="preserve">INSERT INTO agresor (idAgresor, Nombre, Apellido, Edad, Ocupacion, Nacionalidad,Antecedentes) VALUES (' PJalife55 ',' Pablo ', ' Jalife ', 55,' ND ',' Chilena ',' ND '); </v>
      </c>
    </row>
    <row r="36" spans="1:13" ht="30.75" thickBot="1">
      <c r="A36" t="str">
        <f t="shared" si="0"/>
        <v>CSilva22</v>
      </c>
      <c r="B36" s="20" t="s">
        <v>671</v>
      </c>
      <c r="C36" s="30" t="str">
        <f>B36</f>
        <v>Cristian</v>
      </c>
      <c r="D36" s="5" t="str">
        <f t="shared" si="1"/>
        <v>C</v>
      </c>
      <c r="E36" s="30" t="str">
        <f t="shared" si="3"/>
        <v>Silva</v>
      </c>
      <c r="F36" s="5" t="s">
        <v>672</v>
      </c>
      <c r="G36" s="21" t="s">
        <v>404</v>
      </c>
      <c r="H36" s="22">
        <v>22</v>
      </c>
      <c r="I36" s="5" t="s">
        <v>402</v>
      </c>
      <c r="J36" s="5" t="s">
        <v>658</v>
      </c>
      <c r="K36" s="5" t="s">
        <v>401</v>
      </c>
      <c r="L36" s="20" t="s">
        <v>401</v>
      </c>
      <c r="M36" s="17" t="str">
        <f t="shared" si="2"/>
        <v xml:space="preserve">INSERT INTO agresor (idAgresor, Nombre, Apellido, Edad, Ocupacion, Nacionalidad,Antecedentes) VALUES (' CSilva22 ',' Cristian ', ' Silva ', 22,' ND ',' Chilena ',' ND '); </v>
      </c>
    </row>
    <row r="37" spans="1:13" ht="15.75" thickBot="1">
      <c r="A37" t="str">
        <f t="shared" si="0"/>
        <v>NND0</v>
      </c>
      <c r="B37" s="20" t="s">
        <v>401</v>
      </c>
      <c r="C37" s="30" t="s">
        <v>401</v>
      </c>
      <c r="D37" s="5" t="str">
        <f t="shared" si="1"/>
        <v>N</v>
      </c>
      <c r="E37" s="30" t="s">
        <v>401</v>
      </c>
      <c r="F37" s="5" t="s">
        <v>401</v>
      </c>
      <c r="G37" s="21" t="s">
        <v>406</v>
      </c>
      <c r="H37" s="5">
        <v>0</v>
      </c>
      <c r="I37" s="5" t="s">
        <v>402</v>
      </c>
      <c r="J37" s="5" t="s">
        <v>401</v>
      </c>
      <c r="K37" s="5" t="s">
        <v>401</v>
      </c>
      <c r="L37" s="20" t="s">
        <v>401</v>
      </c>
      <c r="M37" s="17" t="str">
        <f t="shared" si="2"/>
        <v xml:space="preserve">INSERT INTO agresor (idAgresor, Nombre, Apellido, Edad, Ocupacion, Nacionalidad,Antecedentes) VALUES (' NND0 ',' ND ', ' ND ', 0,' ND ',' Chilena ',' ND '); </v>
      </c>
    </row>
    <row r="38" spans="1:13" ht="15.75" thickBot="1">
      <c r="A38" t="str">
        <f t="shared" si="0"/>
        <v>NND39</v>
      </c>
      <c r="B38" s="20" t="s">
        <v>401</v>
      </c>
      <c r="C38" s="30" t="str">
        <f>B38</f>
        <v>ND</v>
      </c>
      <c r="D38" s="5" t="str">
        <f t="shared" si="1"/>
        <v>N</v>
      </c>
      <c r="E38" s="30" t="str">
        <f>F38</f>
        <v>ND</v>
      </c>
      <c r="F38" s="5" t="s">
        <v>401</v>
      </c>
      <c r="G38" s="21" t="s">
        <v>406</v>
      </c>
      <c r="H38" s="22">
        <v>39</v>
      </c>
      <c r="I38" s="5" t="s">
        <v>402</v>
      </c>
      <c r="J38" s="5" t="s">
        <v>401</v>
      </c>
      <c r="K38" s="5" t="s">
        <v>501</v>
      </c>
      <c r="L38" s="20" t="s">
        <v>401</v>
      </c>
      <c r="M38" s="17" t="str">
        <f t="shared" si="2"/>
        <v xml:space="preserve">INSERT INTO agresor (idAgresor, Nombre, Apellido, Edad, Ocupacion, Nacionalidad,Antecedentes) VALUES (' NND39 ',' ND ', ' ND ', 39,' Recolector ',' Chilena ',' ND '); </v>
      </c>
    </row>
    <row r="39" spans="1:13" ht="30.75" thickBot="1">
      <c r="A39" t="str">
        <f t="shared" si="0"/>
        <v>CValera31</v>
      </c>
      <c r="B39" s="20" t="s">
        <v>673</v>
      </c>
      <c r="C39" s="30" t="str">
        <f>B39</f>
        <v>Carlos</v>
      </c>
      <c r="D39" s="5" t="str">
        <f t="shared" si="1"/>
        <v>C</v>
      </c>
      <c r="E39" s="30" t="str">
        <f t="shared" si="3"/>
        <v>Valera</v>
      </c>
      <c r="F39" s="5" t="s">
        <v>674</v>
      </c>
      <c r="G39" s="21" t="s">
        <v>416</v>
      </c>
      <c r="H39" s="22">
        <v>31</v>
      </c>
      <c r="I39" s="5" t="s">
        <v>505</v>
      </c>
      <c r="J39" s="26" t="s">
        <v>658</v>
      </c>
      <c r="K39" s="5" t="s">
        <v>401</v>
      </c>
      <c r="L39" s="20" t="s">
        <v>401</v>
      </c>
      <c r="M39" s="17" t="str">
        <f t="shared" si="2"/>
        <v xml:space="preserve">INSERT INTO agresor (idAgresor, Nombre, Apellido, Edad, Ocupacion, Nacionalidad,Antecedentes) VALUES (' CValera31 ',' Carlos ', ' Valera ', 31,' ND ',' Venezolana ',' ND '); </v>
      </c>
    </row>
    <row r="40" spans="1:13" ht="30.75" thickBot="1">
      <c r="A40" t="str">
        <f t="shared" si="0"/>
        <v>EPineda35</v>
      </c>
      <c r="B40" s="20" t="s">
        <v>675</v>
      </c>
      <c r="C40" s="30" t="str">
        <f>MID(B40,1,FIND(" ",B40,1)-1)</f>
        <v>Emanuel</v>
      </c>
      <c r="D40" s="5" t="str">
        <f t="shared" si="1"/>
        <v>E</v>
      </c>
      <c r="E40" s="30" t="str">
        <f t="shared" si="3"/>
        <v>Pineda</v>
      </c>
      <c r="F40" s="5" t="s">
        <v>676</v>
      </c>
      <c r="G40" s="21" t="s">
        <v>400</v>
      </c>
      <c r="H40" s="22">
        <v>35</v>
      </c>
      <c r="I40" s="5" t="s">
        <v>402</v>
      </c>
      <c r="J40" s="5" t="s">
        <v>401</v>
      </c>
      <c r="K40" s="5" t="s">
        <v>401</v>
      </c>
      <c r="L40" s="20" t="s">
        <v>401</v>
      </c>
      <c r="M40" s="17" t="str">
        <f t="shared" si="2"/>
        <v xml:space="preserve">INSERT INTO agresor (idAgresor, Nombre, Apellido, Edad, Ocupacion, Nacionalidad,Antecedentes) VALUES (' EPineda35 ',' Emanuel ', ' Pineda ', 35,' ND ',' Chilena ',' ND '); </v>
      </c>
    </row>
    <row r="41" spans="1:13" ht="30.75" thickBot="1">
      <c r="A41" t="str">
        <f t="shared" si="0"/>
        <v>LSilva36</v>
      </c>
      <c r="B41" s="20" t="s">
        <v>677</v>
      </c>
      <c r="C41" s="30" t="str">
        <f>MID(B41,1,FIND(" ",B41,1)-1)</f>
        <v>Luciano</v>
      </c>
      <c r="D41" s="5" t="str">
        <f t="shared" si="1"/>
        <v>L</v>
      </c>
      <c r="E41" s="30" t="str">
        <f t="shared" si="3"/>
        <v>Silva</v>
      </c>
      <c r="F41" s="5" t="s">
        <v>678</v>
      </c>
      <c r="G41" s="21" t="s">
        <v>404</v>
      </c>
      <c r="H41" s="22">
        <v>36</v>
      </c>
      <c r="I41" s="5" t="s">
        <v>402</v>
      </c>
      <c r="J41" s="5" t="s">
        <v>401</v>
      </c>
      <c r="K41" s="5" t="s">
        <v>401</v>
      </c>
      <c r="L41" s="20" t="s">
        <v>401</v>
      </c>
      <c r="M41" s="17" t="str">
        <f t="shared" si="2"/>
        <v xml:space="preserve">INSERT INTO agresor (idAgresor, Nombre, Apellido, Edad, Ocupacion, Nacionalidad,Antecedentes) VALUES (' LSilva36 ',' Luciano ', ' Silva ', 36,' ND ',' Chilena ',' ND '); </v>
      </c>
    </row>
    <row r="42" spans="1:13" ht="30.75" thickBot="1">
      <c r="A42" t="str">
        <f t="shared" si="0"/>
        <v>IAcuña40</v>
      </c>
      <c r="B42" s="20" t="s">
        <v>679</v>
      </c>
      <c r="C42" s="30" t="str">
        <f>MID(B42,1,FIND(" ",B42,1)-1)</f>
        <v>Ivan</v>
      </c>
      <c r="D42" s="5" t="str">
        <f t="shared" si="1"/>
        <v>I</v>
      </c>
      <c r="E42" s="30" t="str">
        <f t="shared" si="3"/>
        <v>Acuña</v>
      </c>
      <c r="F42" s="5" t="s">
        <v>680</v>
      </c>
      <c r="G42" s="5" t="s">
        <v>426</v>
      </c>
      <c r="H42" s="22">
        <v>40</v>
      </c>
      <c r="I42" s="5" t="s">
        <v>402</v>
      </c>
      <c r="J42" s="5" t="s">
        <v>401</v>
      </c>
      <c r="K42" s="5" t="s">
        <v>401</v>
      </c>
      <c r="L42" s="20" t="s">
        <v>401</v>
      </c>
      <c r="M42" s="17" t="str">
        <f t="shared" si="2"/>
        <v xml:space="preserve">INSERT INTO agresor (idAgresor, Nombre, Apellido, Edad, Ocupacion, Nacionalidad,Antecedentes) VALUES (' IAcuña40 ',' Ivan ', ' Acuña ', 40,' ND ',' Chilena ',' ND '); </v>
      </c>
    </row>
    <row r="43" spans="1:13" ht="15.75" thickBot="1">
      <c r="A43" t="str">
        <f t="shared" si="0"/>
        <v>NND0</v>
      </c>
      <c r="B43" s="20" t="s">
        <v>401</v>
      </c>
      <c r="C43" s="30" t="str">
        <f>B43</f>
        <v>ND</v>
      </c>
      <c r="D43" s="5" t="str">
        <f t="shared" si="1"/>
        <v>N</v>
      </c>
      <c r="E43" s="30" t="str">
        <f>F43</f>
        <v>ND</v>
      </c>
      <c r="F43" s="5" t="s">
        <v>401</v>
      </c>
      <c r="G43" s="5" t="s">
        <v>401</v>
      </c>
      <c r="H43" s="5">
        <v>0</v>
      </c>
      <c r="I43" s="27" t="s">
        <v>556</v>
      </c>
      <c r="J43" s="5" t="s">
        <v>401</v>
      </c>
      <c r="K43" s="5" t="s">
        <v>401</v>
      </c>
      <c r="L43" s="20" t="s">
        <v>401</v>
      </c>
      <c r="M43" s="17" t="str">
        <f t="shared" si="2"/>
        <v xml:space="preserve">INSERT INTO agresor (idAgresor, Nombre, Apellido, Edad, Ocupacion, Nacionalidad,Antecedentes) VALUES (' NND0 ',' ND ', ' ND ', 0,' ND ',' Peruana ',' ND '); </v>
      </c>
    </row>
    <row r="44" spans="1:13" ht="30.75" thickBot="1">
      <c r="A44" t="str">
        <f t="shared" si="0"/>
        <v>LRosales64</v>
      </c>
      <c r="B44" s="20" t="s">
        <v>681</v>
      </c>
      <c r="C44" s="30" t="str">
        <f>MID(B44,1,FIND(" ",B44,1)-1)</f>
        <v>Luis</v>
      </c>
      <c r="D44" s="5" t="str">
        <f t="shared" si="1"/>
        <v>L</v>
      </c>
      <c r="E44" s="30" t="str">
        <f t="shared" si="3"/>
        <v>Rosales</v>
      </c>
      <c r="F44" s="5" t="s">
        <v>682</v>
      </c>
      <c r="G44" s="5" t="s">
        <v>428</v>
      </c>
      <c r="H44" s="22">
        <v>64</v>
      </c>
      <c r="I44" s="27" t="s">
        <v>402</v>
      </c>
      <c r="J44" s="5" t="s">
        <v>401</v>
      </c>
      <c r="K44" s="5" t="s">
        <v>401</v>
      </c>
      <c r="L44" s="20" t="s">
        <v>401</v>
      </c>
      <c r="M44" s="17" t="str">
        <f t="shared" si="2"/>
        <v xml:space="preserve">INSERT INTO agresor (idAgresor, Nombre, Apellido, Edad, Ocupacion, Nacionalidad,Antecedentes) VALUES (' LRosales64 ',' Luis ', ' Rosales ', 64,' ND ',' Chilena ',' ND '); </v>
      </c>
    </row>
    <row r="45" spans="1:13" ht="15.75" thickBot="1">
      <c r="A45" t="str">
        <f t="shared" si="0"/>
        <v>LReyes51</v>
      </c>
      <c r="B45" s="20" t="s">
        <v>648</v>
      </c>
      <c r="C45" s="30" t="str">
        <f>B45</f>
        <v>Luis</v>
      </c>
      <c r="D45" s="5" t="str">
        <f t="shared" si="1"/>
        <v>L</v>
      </c>
      <c r="E45" s="30" t="str">
        <f>F45</f>
        <v>Reyes</v>
      </c>
      <c r="F45" s="5" t="s">
        <v>683</v>
      </c>
      <c r="G45" s="5" t="s">
        <v>428</v>
      </c>
      <c r="H45" s="22">
        <v>51</v>
      </c>
      <c r="I45" s="27" t="s">
        <v>402</v>
      </c>
      <c r="J45" s="5" t="s">
        <v>401</v>
      </c>
      <c r="K45" s="5" t="s">
        <v>401</v>
      </c>
      <c r="L45" s="20" t="s">
        <v>401</v>
      </c>
      <c r="M45" s="17" t="str">
        <f t="shared" si="2"/>
        <v xml:space="preserve">INSERT INTO agresor (idAgresor, Nombre, Apellido, Edad, Ocupacion, Nacionalidad,Antecedentes) VALUES (' LReyes51 ',' Luis ', ' Reyes ', 51,' ND ',' Chilena ',' ND '); </v>
      </c>
    </row>
    <row r="46" spans="1:13" ht="15.75" thickBot="1">
      <c r="A46" t="str">
        <f t="shared" si="0"/>
        <v>RCarvajal55</v>
      </c>
      <c r="B46" s="20" t="s">
        <v>656</v>
      </c>
      <c r="C46" s="30" t="str">
        <f>B46</f>
        <v>René</v>
      </c>
      <c r="D46" s="5" t="str">
        <f t="shared" si="1"/>
        <v>R</v>
      </c>
      <c r="E46" s="30" t="str">
        <f>F46</f>
        <v>Carvajal</v>
      </c>
      <c r="F46" s="5" t="s">
        <v>684</v>
      </c>
      <c r="G46" s="5" t="s">
        <v>414</v>
      </c>
      <c r="H46" s="22">
        <v>55</v>
      </c>
      <c r="I46" s="27" t="s">
        <v>402</v>
      </c>
      <c r="J46" s="5" t="s">
        <v>401</v>
      </c>
      <c r="K46" s="5" t="s">
        <v>401</v>
      </c>
      <c r="L46" s="20" t="s">
        <v>401</v>
      </c>
      <c r="M46" s="17" t="str">
        <f t="shared" si="2"/>
        <v xml:space="preserve">INSERT INTO agresor (idAgresor, Nombre, Apellido, Edad, Ocupacion, Nacionalidad,Antecedentes) VALUES (' RCarvajal55 ',' René ', ' Carvajal ', 55,' ND ',' Chilena ',' ND '); </v>
      </c>
    </row>
    <row r="47" spans="1:13" ht="15.75" thickBot="1">
      <c r="A47" t="str">
        <f>CONCATENATE(D47,E47,H47)</f>
        <v>NND0</v>
      </c>
      <c r="B47" s="20" t="s">
        <v>401</v>
      </c>
      <c r="C47" s="30" t="str">
        <f>B47</f>
        <v>ND</v>
      </c>
      <c r="D47" s="5" t="str">
        <f t="shared" si="1"/>
        <v>N</v>
      </c>
      <c r="E47" s="30" t="str">
        <f>F47</f>
        <v>ND</v>
      </c>
      <c r="F47" s="5" t="s">
        <v>401</v>
      </c>
      <c r="G47" s="5" t="s">
        <v>406</v>
      </c>
      <c r="H47" s="5">
        <v>0</v>
      </c>
      <c r="I47" s="27" t="s">
        <v>402</v>
      </c>
      <c r="J47" s="5" t="s">
        <v>401</v>
      </c>
      <c r="K47" s="5" t="s">
        <v>401</v>
      </c>
      <c r="L47" s="20" t="s">
        <v>401</v>
      </c>
      <c r="M47" s="17" t="str">
        <f t="shared" si="2"/>
        <v xml:space="preserve">INSERT INTO agresor (idAgresor, Nombre, Apellido, Edad, Ocupacion, Nacionalidad,Antecedentes) VALUES (' NND0 ',' ND ', ' ND ', 0,' ND ',' Chilena ',' ND '); </v>
      </c>
    </row>
    <row r="48" spans="1:13" ht="30.75" thickBot="1">
      <c r="A48" t="str">
        <f t="shared" si="0"/>
        <v>EVásquez25</v>
      </c>
      <c r="B48" s="20" t="s">
        <v>685</v>
      </c>
      <c r="C48" s="30" t="str">
        <f>MID(B48,1,FIND(" ",B48,1)-1)</f>
        <v>Edwin</v>
      </c>
      <c r="D48" s="5" t="str">
        <f t="shared" si="1"/>
        <v>E</v>
      </c>
      <c r="E48" s="30" t="str">
        <f t="shared" si="3"/>
        <v>Vásquez</v>
      </c>
      <c r="F48" s="5" t="s">
        <v>686</v>
      </c>
      <c r="G48" s="5" t="s">
        <v>416</v>
      </c>
      <c r="H48" s="22">
        <v>25</v>
      </c>
      <c r="I48" s="27" t="s">
        <v>412</v>
      </c>
      <c r="J48" s="5" t="s">
        <v>401</v>
      </c>
      <c r="K48" s="5" t="s">
        <v>687</v>
      </c>
      <c r="L48" s="20" t="s">
        <v>401</v>
      </c>
      <c r="M48" s="17" t="str">
        <f t="shared" si="2"/>
        <v xml:space="preserve">INSERT INTO agresor (idAgresor, Nombre, Apellido, Edad, Ocupacion, Nacionalidad,Antecedentes) VALUES (' EVásquez25 ',' Edwin ', ' Vásquez ', 25,' Mesero ',' Colombiana ',' ND '); </v>
      </c>
    </row>
    <row r="49" spans="1:13" ht="15.75" thickBot="1">
      <c r="A49" t="str">
        <f t="shared" si="0"/>
        <v>FMarchan61</v>
      </c>
      <c r="B49" s="20" t="s">
        <v>688</v>
      </c>
      <c r="C49" s="30" t="str">
        <f>B49</f>
        <v>Francisco</v>
      </c>
      <c r="D49" s="5" t="str">
        <f t="shared" si="1"/>
        <v>F</v>
      </c>
      <c r="E49" s="30" t="str">
        <f>F49</f>
        <v>Marchan</v>
      </c>
      <c r="F49" s="5" t="s">
        <v>689</v>
      </c>
      <c r="G49" s="5" t="s">
        <v>418</v>
      </c>
      <c r="H49" s="22">
        <v>61</v>
      </c>
      <c r="I49" s="27" t="s">
        <v>402</v>
      </c>
      <c r="J49" s="5" t="s">
        <v>401</v>
      </c>
      <c r="K49" s="5" t="s">
        <v>401</v>
      </c>
      <c r="L49" s="20" t="s">
        <v>401</v>
      </c>
      <c r="M49" s="17" t="str">
        <f t="shared" si="2"/>
        <v xml:space="preserve">INSERT INTO agresor (idAgresor, Nombre, Apellido, Edad, Ocupacion, Nacionalidad,Antecedentes) VALUES (' FMarchan61 ',' Francisco ', ' Marchan ', 61,' ND ',' Chilena ',' ND '); </v>
      </c>
    </row>
    <row r="50" spans="1:13" ht="15.75" thickBot="1">
      <c r="A50" t="str">
        <f t="shared" si="0"/>
        <v>CDelgado69</v>
      </c>
      <c r="B50" s="20" t="s">
        <v>673</v>
      </c>
      <c r="C50" s="30" t="str">
        <f>B50</f>
        <v>Carlos</v>
      </c>
      <c r="D50" s="5" t="str">
        <f t="shared" si="1"/>
        <v>C</v>
      </c>
      <c r="E50" s="30" t="str">
        <f>F50</f>
        <v>Delgado</v>
      </c>
      <c r="F50" s="5" t="s">
        <v>690</v>
      </c>
      <c r="G50" s="5" t="s">
        <v>452</v>
      </c>
      <c r="H50" s="22">
        <v>69</v>
      </c>
      <c r="I50" s="27" t="s">
        <v>402</v>
      </c>
      <c r="J50" s="5" t="s">
        <v>401</v>
      </c>
      <c r="K50" s="5" t="s">
        <v>401</v>
      </c>
      <c r="L50" s="20" t="s">
        <v>401</v>
      </c>
      <c r="M50" s="17" t="str">
        <f t="shared" si="2"/>
        <v xml:space="preserve">INSERT INTO agresor (idAgresor, Nombre, Apellido, Edad, Ocupacion, Nacionalidad,Antecedentes) VALUES (' CDelgado69 ',' Carlos ', ' Delgado ', 69,' ND ',' Chilena ',' ND '); </v>
      </c>
    </row>
    <row r="51" spans="1:13" ht="15.75" thickBot="1">
      <c r="A51" t="str">
        <f t="shared" si="0"/>
        <v>JCornejo47</v>
      </c>
      <c r="B51" s="20" t="s">
        <v>646</v>
      </c>
      <c r="C51" s="30" t="str">
        <f>B51</f>
        <v>Juan</v>
      </c>
      <c r="D51" s="5" t="str">
        <f t="shared" si="1"/>
        <v>J</v>
      </c>
      <c r="E51" s="30" t="str">
        <f>F51</f>
        <v>Cornejo</v>
      </c>
      <c r="F51" s="5" t="s">
        <v>691</v>
      </c>
      <c r="G51" s="5" t="s">
        <v>414</v>
      </c>
      <c r="H51" s="22">
        <v>47</v>
      </c>
      <c r="I51" s="27" t="s">
        <v>402</v>
      </c>
      <c r="J51" s="5" t="s">
        <v>401</v>
      </c>
      <c r="K51" s="5" t="s">
        <v>401</v>
      </c>
      <c r="L51" s="20" t="s">
        <v>401</v>
      </c>
      <c r="M51" s="17" t="str">
        <f t="shared" si="2"/>
        <v xml:space="preserve">INSERT INTO agresor (idAgresor, Nombre, Apellido, Edad, Ocupacion, Nacionalidad,Antecedentes) VALUES (' JCornejo47 ',' Juan ', ' Cornejo ', 47,' ND ',' Chilena ',' ND '); </v>
      </c>
    </row>
    <row r="52" spans="1:13" ht="30.75" thickBot="1">
      <c r="A52" t="str">
        <f t="shared" si="0"/>
        <v>JArriagada49</v>
      </c>
      <c r="B52" s="20" t="s">
        <v>692</v>
      </c>
      <c r="C52" s="30" t="str">
        <f>MID(B52,1,FIND(" ",B52,1)-1)</f>
        <v>Jose</v>
      </c>
      <c r="D52" s="5" t="str">
        <f t="shared" si="1"/>
        <v>J</v>
      </c>
      <c r="E52" s="30" t="str">
        <f>F52</f>
        <v>Arriagada</v>
      </c>
      <c r="F52" s="5" t="s">
        <v>693</v>
      </c>
      <c r="G52" s="5" t="s">
        <v>426</v>
      </c>
      <c r="H52" s="22">
        <v>49</v>
      </c>
      <c r="I52" s="27" t="s">
        <v>402</v>
      </c>
      <c r="J52" s="5" t="s">
        <v>401</v>
      </c>
      <c r="K52" s="5" t="s">
        <v>401</v>
      </c>
      <c r="L52" s="20" t="s">
        <v>401</v>
      </c>
      <c r="M52" s="17" t="str">
        <f t="shared" si="2"/>
        <v xml:space="preserve">INSERT INTO agresor (idAgresor, Nombre, Apellido, Edad, Ocupacion, Nacionalidad,Antecedentes) VALUES (' JArriagada49 ',' Jose ', ' Arriagada ', 49,' ND ',' Chilena ',' ND '); </v>
      </c>
    </row>
    <row r="53" spans="1:13" ht="30.75" thickBot="1">
      <c r="A53" t="str">
        <f t="shared" si="0"/>
        <v>FGómez0</v>
      </c>
      <c r="B53" s="20" t="s">
        <v>694</v>
      </c>
      <c r="C53" s="20" t="s">
        <v>694</v>
      </c>
      <c r="D53" s="5" t="str">
        <f t="shared" si="1"/>
        <v>F</v>
      </c>
      <c r="E53" s="30" t="str">
        <f t="shared" si="3"/>
        <v>Gómez</v>
      </c>
      <c r="F53" s="5" t="s">
        <v>695</v>
      </c>
      <c r="G53" s="5" t="s">
        <v>420</v>
      </c>
      <c r="H53" s="5">
        <v>0</v>
      </c>
      <c r="I53" s="27" t="s">
        <v>402</v>
      </c>
      <c r="J53" s="5" t="s">
        <v>401</v>
      </c>
      <c r="K53" s="5" t="s">
        <v>401</v>
      </c>
      <c r="L53" s="20" t="s">
        <v>401</v>
      </c>
      <c r="M53" s="17" t="str">
        <f t="shared" si="2"/>
        <v xml:space="preserve">INSERT INTO agresor (idAgresor, Nombre, Apellido, Edad, Ocupacion, Nacionalidad,Antecedentes) VALUES (' FGómez0 ',' Fernando ', ' Gómez ', 0,' ND ',' Chilena ',' ND '); </v>
      </c>
    </row>
    <row r="54" spans="1:13" ht="15.75" thickBot="1">
      <c r="A54" t="str">
        <f t="shared" si="0"/>
        <v>ÁIturra34</v>
      </c>
      <c r="B54" s="20" t="s">
        <v>696</v>
      </c>
      <c r="C54" s="30" t="str">
        <f>B54</f>
        <v>Ángelo</v>
      </c>
      <c r="D54" s="5" t="str">
        <f t="shared" si="1"/>
        <v>Á</v>
      </c>
      <c r="E54" s="30" t="str">
        <f>F54</f>
        <v>Iturra</v>
      </c>
      <c r="F54" s="5" t="s">
        <v>697</v>
      </c>
      <c r="G54" s="5" t="s">
        <v>398</v>
      </c>
      <c r="H54" s="22">
        <v>34</v>
      </c>
      <c r="I54" s="27" t="s">
        <v>402</v>
      </c>
      <c r="J54" s="5" t="s">
        <v>401</v>
      </c>
      <c r="K54" s="5" t="s">
        <v>401</v>
      </c>
      <c r="L54" s="20" t="s">
        <v>401</v>
      </c>
      <c r="M54" s="17" t="str">
        <f t="shared" si="2"/>
        <v xml:space="preserve">INSERT INTO agresor (idAgresor, Nombre, Apellido, Edad, Ocupacion, Nacionalidad,Antecedentes) VALUES (' ÁIturra34 ',' Ángelo ', ' Iturra ', 34,' ND ',' Chilena ',' ND '); </v>
      </c>
    </row>
    <row r="55" spans="1:13" ht="30.75" thickBot="1">
      <c r="A55" t="str">
        <f t="shared" si="0"/>
        <v>RAndrade58</v>
      </c>
      <c r="B55" s="20" t="s">
        <v>698</v>
      </c>
      <c r="C55" s="30" t="str">
        <f t="shared" ref="C55:C60" si="7">B55</f>
        <v>Ricardo</v>
      </c>
      <c r="D55" s="5" t="str">
        <f t="shared" si="1"/>
        <v>R</v>
      </c>
      <c r="E55" s="30" t="str">
        <f t="shared" si="3"/>
        <v>Andrade</v>
      </c>
      <c r="F55" s="5" t="s">
        <v>699</v>
      </c>
      <c r="G55" s="5" t="s">
        <v>426</v>
      </c>
      <c r="H55" s="22">
        <v>58</v>
      </c>
      <c r="I55" s="27" t="s">
        <v>402</v>
      </c>
      <c r="J55" s="5" t="s">
        <v>401</v>
      </c>
      <c r="K55" s="5" t="s">
        <v>401</v>
      </c>
      <c r="L55" s="20" t="s">
        <v>401</v>
      </c>
      <c r="M55" s="17" t="str">
        <f t="shared" si="2"/>
        <v xml:space="preserve">INSERT INTO agresor (idAgresor, Nombre, Apellido, Edad, Ocupacion, Nacionalidad,Antecedentes) VALUES (' RAndrade58 ',' Ricardo ', ' Andrade ', 58,' ND ',' Chilena ',' ND '); </v>
      </c>
    </row>
    <row r="56" spans="1:13" ht="15.75" thickBot="1">
      <c r="A56" t="str">
        <f t="shared" si="0"/>
        <v>ODíaz51</v>
      </c>
      <c r="B56" s="20" t="s">
        <v>700</v>
      </c>
      <c r="C56" s="30" t="str">
        <f t="shared" si="7"/>
        <v>Oscar</v>
      </c>
      <c r="D56" s="5" t="str">
        <f t="shared" si="1"/>
        <v>O</v>
      </c>
      <c r="E56" s="30" t="str">
        <f t="shared" si="3"/>
        <v>Díaz</v>
      </c>
      <c r="F56" s="5" t="s">
        <v>701</v>
      </c>
      <c r="G56" s="5" t="s">
        <v>452</v>
      </c>
      <c r="H56" s="22">
        <v>51</v>
      </c>
      <c r="I56" s="27" t="s">
        <v>402</v>
      </c>
      <c r="J56" s="5" t="s">
        <v>401</v>
      </c>
      <c r="K56" s="5" t="s">
        <v>401</v>
      </c>
      <c r="L56" s="20" t="s">
        <v>401</v>
      </c>
      <c r="M56" s="17" t="str">
        <f t="shared" si="2"/>
        <v xml:space="preserve">INSERT INTO agresor (idAgresor, Nombre, Apellido, Edad, Ocupacion, Nacionalidad,Antecedentes) VALUES (' ODíaz51 ',' Oscar ', ' Díaz ', 51,' ND ',' Chilena ',' ND '); </v>
      </c>
    </row>
    <row r="57" spans="1:13" ht="30.75" thickBot="1">
      <c r="A57" t="str">
        <f t="shared" si="0"/>
        <v>LCarmona35</v>
      </c>
      <c r="B57" s="20" t="s">
        <v>648</v>
      </c>
      <c r="C57" s="30" t="str">
        <f t="shared" si="7"/>
        <v>Luis</v>
      </c>
      <c r="D57" s="5" t="str">
        <f t="shared" si="1"/>
        <v>L</v>
      </c>
      <c r="E57" s="30" t="str">
        <f t="shared" si="3"/>
        <v>Carmona</v>
      </c>
      <c r="F57" s="5" t="s">
        <v>702</v>
      </c>
      <c r="G57" s="5" t="s">
        <v>414</v>
      </c>
      <c r="H57" s="22">
        <v>35</v>
      </c>
      <c r="I57" s="27" t="s">
        <v>402</v>
      </c>
      <c r="J57" s="5" t="s">
        <v>401</v>
      </c>
      <c r="K57" s="5" t="s">
        <v>401</v>
      </c>
      <c r="L57" s="20" t="s">
        <v>401</v>
      </c>
      <c r="M57" s="17" t="str">
        <f t="shared" si="2"/>
        <v xml:space="preserve">INSERT INTO agresor (idAgresor, Nombre, Apellido, Edad, Ocupacion, Nacionalidad,Antecedentes) VALUES (' LCarmona35 ',' Luis ', ' Carmona ', 35,' ND ',' Chilena ',' ND '); </v>
      </c>
    </row>
    <row r="58" spans="1:13" ht="30.75" thickBot="1">
      <c r="A58" t="str">
        <f t="shared" si="0"/>
        <v>CCampodonico20</v>
      </c>
      <c r="B58" s="20" t="s">
        <v>703</v>
      </c>
      <c r="C58" s="30" t="str">
        <f t="shared" si="7"/>
        <v>Camila</v>
      </c>
      <c r="D58" s="5" t="str">
        <f t="shared" si="1"/>
        <v>C</v>
      </c>
      <c r="E58" s="30" t="str">
        <f t="shared" si="3"/>
        <v>Campodonico</v>
      </c>
      <c r="F58" s="5" t="s">
        <v>704</v>
      </c>
      <c r="G58" s="5" t="s">
        <v>414</v>
      </c>
      <c r="H58" s="22">
        <v>20</v>
      </c>
      <c r="I58" s="27" t="s">
        <v>402</v>
      </c>
      <c r="J58" s="5" t="s">
        <v>401</v>
      </c>
      <c r="K58" s="5" t="s">
        <v>401</v>
      </c>
      <c r="L58" s="20" t="s">
        <v>401</v>
      </c>
      <c r="M58" s="17" t="str">
        <f t="shared" si="2"/>
        <v xml:space="preserve">INSERT INTO agresor (idAgresor, Nombre, Apellido, Edad, Ocupacion, Nacionalidad,Antecedentes) VALUES (' CCampodonico20 ',' Camila ', ' Campodonico ', 20,' ND ',' Chilena ',' ND '); </v>
      </c>
    </row>
    <row r="59" spans="1:13" ht="15.75" thickBot="1">
      <c r="A59" t="str">
        <f t="shared" si="0"/>
        <v>NND0</v>
      </c>
      <c r="B59" s="20" t="s">
        <v>401</v>
      </c>
      <c r="C59" s="30" t="str">
        <f t="shared" si="7"/>
        <v>ND</v>
      </c>
      <c r="D59" s="5" t="str">
        <f t="shared" si="1"/>
        <v>N</v>
      </c>
      <c r="E59" s="30" t="str">
        <f>F59</f>
        <v>ND</v>
      </c>
      <c r="F59" s="5" t="s">
        <v>401</v>
      </c>
      <c r="G59" s="5" t="s">
        <v>401</v>
      </c>
      <c r="H59" s="5">
        <v>0</v>
      </c>
      <c r="I59" s="27" t="s">
        <v>401</v>
      </c>
      <c r="J59" s="5" t="s">
        <v>401</v>
      </c>
      <c r="K59" s="5" t="s">
        <v>401</v>
      </c>
      <c r="L59" s="20" t="s">
        <v>401</v>
      </c>
      <c r="M59" s="17" t="str">
        <f t="shared" si="2"/>
        <v xml:space="preserve">INSERT INTO agresor (idAgresor, Nombre, Apellido, Edad, Ocupacion, Nacionalidad,Antecedentes) VALUES (' NND0 ',' ND ', ' ND ', 0,' ND ',' ND ',' ND '); </v>
      </c>
    </row>
    <row r="60" spans="1:13" ht="15.75" thickBot="1">
      <c r="A60" t="str">
        <f t="shared" si="0"/>
        <v>NND0</v>
      </c>
      <c r="B60" s="20" t="s">
        <v>401</v>
      </c>
      <c r="C60" s="30" t="str">
        <f t="shared" si="7"/>
        <v>ND</v>
      </c>
      <c r="D60" s="5" t="str">
        <f t="shared" si="1"/>
        <v>N</v>
      </c>
      <c r="E60" s="30" t="str">
        <f>F60</f>
        <v>ND</v>
      </c>
      <c r="F60" s="5" t="s">
        <v>401</v>
      </c>
      <c r="G60" s="5" t="s">
        <v>401</v>
      </c>
      <c r="H60" s="5">
        <v>0</v>
      </c>
      <c r="I60" s="27" t="s">
        <v>402</v>
      </c>
      <c r="J60" s="5" t="s">
        <v>401</v>
      </c>
      <c r="K60" s="5" t="s">
        <v>401</v>
      </c>
      <c r="L60" s="20" t="s">
        <v>401</v>
      </c>
      <c r="M60" s="17" t="str">
        <f t="shared" si="2"/>
        <v xml:space="preserve">INSERT INTO agresor (idAgresor, Nombre, Apellido, Edad, Ocupacion, Nacionalidad,Antecedentes) VALUES (' NND0 ',' ND ', ' ND ', 0,' ND ',' Chilena ',' ND '); </v>
      </c>
    </row>
    <row r="61" spans="1:13" ht="30.75" thickBot="1">
      <c r="A61" t="str">
        <f t="shared" si="0"/>
        <v>EMartel34</v>
      </c>
      <c r="B61" s="20" t="s">
        <v>705</v>
      </c>
      <c r="C61" s="30" t="str">
        <f>MID(B61,1,FIND(" ",B61,1)-1)</f>
        <v>Eliud</v>
      </c>
      <c r="D61" s="5" t="str">
        <f t="shared" si="1"/>
        <v>E</v>
      </c>
      <c r="E61" s="30" t="str">
        <f t="shared" si="3"/>
        <v>Martel</v>
      </c>
      <c r="F61" s="28" t="s">
        <v>706</v>
      </c>
      <c r="G61" s="5" t="s">
        <v>418</v>
      </c>
      <c r="H61" s="22">
        <v>34</v>
      </c>
      <c r="I61" s="27" t="s">
        <v>556</v>
      </c>
      <c r="J61" s="5" t="s">
        <v>401</v>
      </c>
      <c r="K61" s="5" t="s">
        <v>401</v>
      </c>
      <c r="L61" s="20" t="s">
        <v>401</v>
      </c>
      <c r="M61" s="17" t="str">
        <f t="shared" si="2"/>
        <v xml:space="preserve">INSERT INTO agresor (idAgresor, Nombre, Apellido, Edad, Ocupacion, Nacionalidad,Antecedentes) VALUES (' EMartel34 ',' Eliud ', ' Martel ', 34,' ND ',' Peruana ',' ND '); </v>
      </c>
    </row>
    <row r="62" spans="1:13" ht="30.75" thickBot="1">
      <c r="A62" t="str">
        <f t="shared" si="0"/>
        <v>PGarrido27</v>
      </c>
      <c r="B62" s="20" t="s">
        <v>707</v>
      </c>
      <c r="C62" s="30" t="str">
        <f>MID(B62,1,FIND(" ",B62,1)-1)</f>
        <v>Patricio</v>
      </c>
      <c r="D62" s="5" t="str">
        <f t="shared" si="1"/>
        <v>P</v>
      </c>
      <c r="E62" s="30" t="str">
        <f t="shared" si="3"/>
        <v>Garrido</v>
      </c>
      <c r="F62" s="5" t="s">
        <v>708</v>
      </c>
      <c r="G62" s="5" t="s">
        <v>401</v>
      </c>
      <c r="H62" s="22">
        <v>27</v>
      </c>
      <c r="I62" s="27" t="s">
        <v>402</v>
      </c>
      <c r="J62" s="5" t="s">
        <v>401</v>
      </c>
      <c r="K62" s="5" t="s">
        <v>401</v>
      </c>
      <c r="L62" s="20" t="s">
        <v>401</v>
      </c>
      <c r="M62" s="17" t="str">
        <f t="shared" si="2"/>
        <v xml:space="preserve">INSERT INTO agresor (idAgresor, Nombre, Apellido, Edad, Ocupacion, Nacionalidad,Antecedentes) VALUES (' PGarrido27 ',' Patricio ', ' Garrido ', 27,' ND ',' Chilena ',' ND '); </v>
      </c>
    </row>
    <row r="63" spans="1:13" ht="30.75" thickBot="1">
      <c r="A63" t="str">
        <f t="shared" si="0"/>
        <v>LOrellana71</v>
      </c>
      <c r="B63" s="20" t="s">
        <v>709</v>
      </c>
      <c r="C63" s="30" t="str">
        <f>MID(B63,1,FIND(" ",B63,1)-1)</f>
        <v>Luis</v>
      </c>
      <c r="D63" s="5" t="str">
        <f t="shared" si="1"/>
        <v>L</v>
      </c>
      <c r="E63" s="30" t="str">
        <f t="shared" si="3"/>
        <v>Orellana</v>
      </c>
      <c r="F63" s="5" t="s">
        <v>710</v>
      </c>
      <c r="G63" s="5" t="s">
        <v>480</v>
      </c>
      <c r="H63" s="22">
        <v>71</v>
      </c>
      <c r="I63" s="27" t="s">
        <v>402</v>
      </c>
      <c r="J63" s="5" t="s">
        <v>401</v>
      </c>
      <c r="K63" s="5" t="s">
        <v>711</v>
      </c>
      <c r="L63" s="20" t="s">
        <v>401</v>
      </c>
      <c r="M63" s="17" t="str">
        <f t="shared" si="2"/>
        <v xml:space="preserve">INSERT INTO agresor (idAgresor, Nombre, Apellido, Edad, Ocupacion, Nacionalidad,Antecedentes) VALUES (' LOrellana71 ',' Luis ', ' Orellana ', 71,' comerciante ',' Chilena ',' ND '); </v>
      </c>
    </row>
    <row r="64" spans="1:13" ht="15.75" thickBot="1">
      <c r="A64" t="str">
        <f t="shared" si="0"/>
        <v>MGarcía30</v>
      </c>
      <c r="B64" s="20" t="s">
        <v>712</v>
      </c>
      <c r="C64" s="20" t="s">
        <v>712</v>
      </c>
      <c r="D64" s="5" t="str">
        <f t="shared" si="1"/>
        <v>M</v>
      </c>
      <c r="E64" s="30" t="str">
        <f t="shared" si="3"/>
        <v>García</v>
      </c>
      <c r="F64" s="5" t="s">
        <v>713</v>
      </c>
      <c r="G64" s="5" t="s">
        <v>420</v>
      </c>
      <c r="H64" s="22">
        <v>30</v>
      </c>
      <c r="I64" s="27" t="s">
        <v>402</v>
      </c>
      <c r="J64" s="5" t="s">
        <v>401</v>
      </c>
      <c r="K64" s="5" t="s">
        <v>401</v>
      </c>
      <c r="L64" s="20" t="s">
        <v>401</v>
      </c>
      <c r="M64" s="17" t="str">
        <f t="shared" si="2"/>
        <v xml:space="preserve">INSERT INTO agresor (idAgresor, Nombre, Apellido, Edad, Ocupacion, Nacionalidad,Antecedentes) VALUES (' MGarcía30 ',' Mauricio ', ' García ', 30,' ND ',' Chilena ',' ND '); </v>
      </c>
    </row>
    <row r="65" spans="1:13" ht="15.75" thickBot="1">
      <c r="A65" t="str">
        <f t="shared" si="0"/>
        <v>JReyes33</v>
      </c>
      <c r="B65" s="20" t="s">
        <v>646</v>
      </c>
      <c r="C65" s="20" t="s">
        <v>646</v>
      </c>
      <c r="D65" s="5" t="str">
        <f t="shared" si="1"/>
        <v>J</v>
      </c>
      <c r="E65" s="30" t="str">
        <f>F65</f>
        <v>Reyes</v>
      </c>
      <c r="F65" s="5" t="s">
        <v>683</v>
      </c>
      <c r="G65" s="5" t="s">
        <v>428</v>
      </c>
      <c r="H65" s="22">
        <v>33</v>
      </c>
      <c r="I65" s="27" t="s">
        <v>402</v>
      </c>
      <c r="J65" s="5" t="s">
        <v>401</v>
      </c>
      <c r="K65" s="5" t="s">
        <v>401</v>
      </c>
      <c r="L65" s="20" t="s">
        <v>401</v>
      </c>
      <c r="M65" s="17" t="str">
        <f>"INSERT INTO agresor (idAgresor, Nombre, Apellido, Edad, Ocupacion, Nacionalidad,Antecedentes) VALUES (' "&amp;A65&amp;" ',' "&amp;C65&amp;" ', ' "&amp;E65&amp;" ', "&amp;H65&amp;",' "&amp;K65&amp;" ',' "&amp;I65&amp;" ',' "&amp;L65&amp;" '); "</f>
        <v xml:space="preserve">INSERT INTO agresor (idAgresor, Nombre, Apellido, Edad, Ocupacion, Nacionalidad,Antecedentes) VALUES (' JReyes33 ',' Juan ', ' Reyes ', 33,' ND ',' Chilena ',' ND '); </v>
      </c>
    </row>
    <row r="66" spans="1:13" ht="30.75" thickBot="1">
      <c r="A66" t="str">
        <f t="shared" si="0"/>
        <v>JElgueta35</v>
      </c>
      <c r="B66" s="20" t="s">
        <v>714</v>
      </c>
      <c r="C66" s="20" t="s">
        <v>714</v>
      </c>
      <c r="D66" s="5" t="str">
        <f t="shared" si="1"/>
        <v>J</v>
      </c>
      <c r="E66" s="30" t="str">
        <f t="shared" si="3"/>
        <v>Elgueta</v>
      </c>
      <c r="F66" s="5" t="s">
        <v>715</v>
      </c>
      <c r="G66" s="5" t="s">
        <v>435</v>
      </c>
      <c r="H66" s="22">
        <v>35</v>
      </c>
      <c r="I66" s="27" t="s">
        <v>402</v>
      </c>
      <c r="J66" s="5" t="s">
        <v>401</v>
      </c>
      <c r="K66" s="5" t="s">
        <v>401</v>
      </c>
      <c r="L66" s="20" t="s">
        <v>401</v>
      </c>
      <c r="M66" s="17" t="str">
        <f t="shared" si="2"/>
        <v xml:space="preserve">INSERT INTO agresor (idAgresor, Nombre, Apellido, Edad, Ocupacion, Nacionalidad,Antecedentes) VALUES (' JElgueta35 ',' Jorge ', ' Elgueta ', 35,' ND ',' Chilena ',' ND '); </v>
      </c>
    </row>
    <row r="67" spans="1:13" ht="15.75" thickBot="1">
      <c r="A67" t="str">
        <f t="shared" ref="A67:A80" si="8">CONCATENATE(D67,E67,H67)</f>
        <v>NND0</v>
      </c>
      <c r="B67" s="20" t="s">
        <v>401</v>
      </c>
      <c r="C67" s="20" t="s">
        <v>401</v>
      </c>
      <c r="D67" s="5" t="str">
        <f t="shared" ref="D67:D80" si="9">MID(B67,1,1)</f>
        <v>N</v>
      </c>
      <c r="E67" s="30" t="str">
        <f>F67</f>
        <v>ND</v>
      </c>
      <c r="F67" s="5" t="s">
        <v>401</v>
      </c>
      <c r="G67" s="5" t="s">
        <v>401</v>
      </c>
      <c r="H67" s="5">
        <v>0</v>
      </c>
      <c r="I67" s="27" t="s">
        <v>401</v>
      </c>
      <c r="J67" s="5" t="s">
        <v>401</v>
      </c>
      <c r="K67" s="5" t="s">
        <v>401</v>
      </c>
      <c r="L67" s="20" t="s">
        <v>401</v>
      </c>
      <c r="M67" s="17" t="str">
        <f t="shared" ref="M67:M80" si="10">"INSERT INTO agresor (idAgresor, Nombre, Apellido, Edad, Ocupacion, Nacionalidad,Antecedentes) VALUES (' "&amp;A67&amp;" ',' "&amp;C67&amp;" ', ' "&amp;E67&amp;" ', "&amp;H67&amp;",' "&amp;K67&amp;" ',' "&amp;I67&amp;" ',' "&amp;L67&amp;" '); "</f>
        <v xml:space="preserve">INSERT INTO agresor (idAgresor, Nombre, Apellido, Edad, Ocupacion, Nacionalidad,Antecedentes) VALUES (' NND0 ',' ND ', ' ND ', 0,' ND ',' ND ',' ND '); </v>
      </c>
    </row>
    <row r="68" spans="1:13" ht="15.75" thickBot="1">
      <c r="A68" t="str">
        <f t="shared" si="8"/>
        <v>POsorio29</v>
      </c>
      <c r="B68" s="20" t="s">
        <v>716</v>
      </c>
      <c r="C68" s="20" t="s">
        <v>716</v>
      </c>
      <c r="D68" s="5" t="str">
        <f t="shared" si="9"/>
        <v>P</v>
      </c>
      <c r="E68" s="30" t="str">
        <f>F68</f>
        <v>Osorio</v>
      </c>
      <c r="F68" s="5" t="s">
        <v>717</v>
      </c>
      <c r="G68" s="5" t="s">
        <v>480</v>
      </c>
      <c r="H68" s="22">
        <v>29</v>
      </c>
      <c r="I68" s="27" t="s">
        <v>402</v>
      </c>
      <c r="J68" s="5" t="s">
        <v>401</v>
      </c>
      <c r="K68" s="5" t="s">
        <v>401</v>
      </c>
      <c r="L68" s="20" t="s">
        <v>401</v>
      </c>
      <c r="M68" s="17" t="str">
        <f t="shared" si="10"/>
        <v xml:space="preserve">INSERT INTO agresor (idAgresor, Nombre, Apellido, Edad, Ocupacion, Nacionalidad,Antecedentes) VALUES (' POsorio29 ',' Patricio ', ' Osorio ', 29,' ND ',' Chilena ',' ND '); </v>
      </c>
    </row>
    <row r="69" spans="1:13" ht="30.75" thickBot="1">
      <c r="A69" t="str">
        <f t="shared" si="8"/>
        <v>BGuzmán26</v>
      </c>
      <c r="B69" s="20" t="s">
        <v>718</v>
      </c>
      <c r="C69" s="20" t="s">
        <v>718</v>
      </c>
      <c r="D69" s="5" t="str">
        <f t="shared" si="9"/>
        <v>B</v>
      </c>
      <c r="E69" s="30" t="str">
        <f>MID(F69,1,FIND(" ",F69,1)-1)</f>
        <v>Guzmán</v>
      </c>
      <c r="F69" s="5" t="s">
        <v>719</v>
      </c>
      <c r="G69" s="5" t="s">
        <v>420</v>
      </c>
      <c r="H69" s="22">
        <v>26</v>
      </c>
      <c r="I69" s="27" t="s">
        <v>402</v>
      </c>
      <c r="J69" s="5" t="s">
        <v>401</v>
      </c>
      <c r="K69" s="5" t="s">
        <v>720</v>
      </c>
      <c r="L69" s="20" t="s">
        <v>401</v>
      </c>
      <c r="M69" s="17" t="str">
        <f t="shared" si="10"/>
        <v xml:space="preserve">INSERT INTO agresor (idAgresor, Nombre, Apellido, Edad, Ocupacion, Nacionalidad,Antecedentes) VALUES (' BGuzmán26 ',' Bastián ', ' Guzmán ', 26,' funcionario PDI ',' Chilena ',' ND '); </v>
      </c>
    </row>
    <row r="70" spans="1:13" ht="30.75" thickBot="1">
      <c r="A70" t="str">
        <f t="shared" si="8"/>
        <v>FZamora27</v>
      </c>
      <c r="B70" s="20" t="s">
        <v>721</v>
      </c>
      <c r="C70" s="20" t="s">
        <v>721</v>
      </c>
      <c r="D70" s="5" t="str">
        <f t="shared" si="9"/>
        <v>F</v>
      </c>
      <c r="E70" s="30" t="str">
        <f>MID(F70,1,FIND(" ",F70,1)-1)</f>
        <v>Zamora</v>
      </c>
      <c r="F70" s="5" t="s">
        <v>722</v>
      </c>
      <c r="G70" s="5" t="s">
        <v>498</v>
      </c>
      <c r="H70" s="22">
        <v>27</v>
      </c>
      <c r="I70" s="27" t="s">
        <v>402</v>
      </c>
      <c r="J70" s="5" t="s">
        <v>401</v>
      </c>
      <c r="K70" s="5" t="s">
        <v>401</v>
      </c>
      <c r="L70" s="20" t="s">
        <v>401</v>
      </c>
      <c r="M70" s="17" t="str">
        <f t="shared" si="10"/>
        <v xml:space="preserve">INSERT INTO agresor (idAgresor, Nombre, Apellido, Edad, Ocupacion, Nacionalidad,Antecedentes) VALUES (' FZamora27 ',' Franco ', ' Zamora ', 27,' ND ',' Chilena ',' ND '); </v>
      </c>
    </row>
    <row r="71" spans="1:13" ht="30.75" thickBot="1">
      <c r="A71" t="str">
        <f t="shared" si="8"/>
        <v>JTobar0</v>
      </c>
      <c r="B71" s="20" t="s">
        <v>667</v>
      </c>
      <c r="C71" s="30" t="str">
        <f>MID(B71,1,FIND(" ",B71,1)-1)</f>
        <v>Juan</v>
      </c>
      <c r="D71" s="5" t="str">
        <f t="shared" si="9"/>
        <v>J</v>
      </c>
      <c r="E71" s="30" t="str">
        <f>F71</f>
        <v>Tobar</v>
      </c>
      <c r="F71" s="5" t="s">
        <v>723</v>
      </c>
      <c r="G71" s="5" t="s">
        <v>555</v>
      </c>
      <c r="H71" s="5">
        <v>0</v>
      </c>
      <c r="I71" s="27" t="s">
        <v>412</v>
      </c>
      <c r="J71" s="5" t="s">
        <v>401</v>
      </c>
      <c r="K71" s="5" t="s">
        <v>401</v>
      </c>
      <c r="L71" s="20" t="s">
        <v>401</v>
      </c>
      <c r="M71" s="17" t="str">
        <f t="shared" si="10"/>
        <v xml:space="preserve">INSERT INTO agresor (idAgresor, Nombre, Apellido, Edad, Ocupacion, Nacionalidad,Antecedentes) VALUES (' JTobar0 ',' Juan ', ' Tobar ', 0,' ND ',' Colombiana ',' ND '); </v>
      </c>
    </row>
    <row r="72" spans="1:13" ht="30.75" thickBot="1">
      <c r="A72" t="str">
        <f t="shared" si="8"/>
        <v>PHuenchumán47</v>
      </c>
      <c r="B72" s="20" t="s">
        <v>724</v>
      </c>
      <c r="C72" s="30" t="str">
        <f>MID(B72,1,FIND(" ",B72,1)-1)</f>
        <v>Patricio</v>
      </c>
      <c r="D72" s="5" t="str">
        <f t="shared" si="9"/>
        <v>P</v>
      </c>
      <c r="E72" s="30" t="str">
        <f>F72</f>
        <v>Huenchumán</v>
      </c>
      <c r="F72" s="5" t="s">
        <v>725</v>
      </c>
      <c r="G72" s="5" t="s">
        <v>411</v>
      </c>
      <c r="H72" s="22">
        <v>47</v>
      </c>
      <c r="I72" s="27" t="s">
        <v>402</v>
      </c>
      <c r="J72" s="5" t="s">
        <v>401</v>
      </c>
      <c r="K72" s="5" t="s">
        <v>401</v>
      </c>
      <c r="L72" s="20" t="s">
        <v>401</v>
      </c>
      <c r="M72" s="17" t="str">
        <f t="shared" si="10"/>
        <v xml:space="preserve">INSERT INTO agresor (idAgresor, Nombre, Apellido, Edad, Ocupacion, Nacionalidad,Antecedentes) VALUES (' PHuenchumán47 ',' Patricio ', ' Huenchumán ', 47,' ND ',' Chilena ',' ND '); </v>
      </c>
    </row>
    <row r="73" spans="1:13" ht="45.75" thickBot="1">
      <c r="A73" t="str">
        <f t="shared" si="8"/>
        <v>JLillo27</v>
      </c>
      <c r="B73" s="20" t="s">
        <v>726</v>
      </c>
      <c r="C73" s="30" t="str">
        <f>MID(B73,1,FIND(" ",B73,1)-1)</f>
        <v>Jose</v>
      </c>
      <c r="D73" s="5" t="str">
        <f t="shared" si="9"/>
        <v>J</v>
      </c>
      <c r="E73" s="30" t="str">
        <f>MID(F73,1,FIND(" ",F73,1)-1)</f>
        <v>Lillo</v>
      </c>
      <c r="F73" s="5" t="s">
        <v>727</v>
      </c>
      <c r="G73" s="5" t="s">
        <v>409</v>
      </c>
      <c r="H73" s="22">
        <v>27</v>
      </c>
      <c r="I73" s="27" t="s">
        <v>402</v>
      </c>
      <c r="J73" s="5" t="s">
        <v>401</v>
      </c>
      <c r="K73" s="5" t="s">
        <v>728</v>
      </c>
      <c r="L73" s="20" t="s">
        <v>401</v>
      </c>
      <c r="M73" s="17" t="str">
        <f t="shared" si="10"/>
        <v xml:space="preserve">INSERT INTO agresor (idAgresor, Nombre, Apellido, Edad, Ocupacion, Nacionalidad,Antecedentes) VALUES (' JLillo27 ',' Jose ', ' Lillo ', 27,' Maestro de construcción ',' Chilena ',' ND '); </v>
      </c>
    </row>
    <row r="74" spans="1:13" ht="45.75" thickBot="1">
      <c r="A74" t="str">
        <f t="shared" si="8"/>
        <v>pND0</v>
      </c>
      <c r="B74" s="20" t="s">
        <v>729</v>
      </c>
      <c r="C74" s="30" t="str">
        <f>MID(B74,1,FIND(" ",B74,1)-1)</f>
        <v>pareja</v>
      </c>
      <c r="D74" s="5" t="str">
        <f t="shared" si="9"/>
        <v>p</v>
      </c>
      <c r="E74" s="30" t="str">
        <f>F74</f>
        <v>ND</v>
      </c>
      <c r="F74" s="5" t="s">
        <v>401</v>
      </c>
      <c r="G74" s="5" t="s">
        <v>401</v>
      </c>
      <c r="H74" s="5">
        <v>0</v>
      </c>
      <c r="I74" s="27" t="s">
        <v>402</v>
      </c>
      <c r="J74" s="5" t="s">
        <v>401</v>
      </c>
      <c r="K74" s="5" t="s">
        <v>401</v>
      </c>
      <c r="L74" s="20" t="s">
        <v>401</v>
      </c>
      <c r="M74" s="17" t="str">
        <f t="shared" si="10"/>
        <v xml:space="preserve">INSERT INTO agresor (idAgresor, Nombre, Apellido, Edad, Ocupacion, Nacionalidad,Antecedentes) VALUES (' pND0 ',' pareja ', ' ND ', 0,' ND ',' Chilena ',' ND '); </v>
      </c>
    </row>
    <row r="75" spans="1:13" ht="15.75" thickBot="1">
      <c r="A75" t="str">
        <f t="shared" si="8"/>
        <v>FSalas29</v>
      </c>
      <c r="B75" s="20" t="s">
        <v>730</v>
      </c>
      <c r="C75" s="20" t="s">
        <v>730</v>
      </c>
      <c r="D75" s="5" t="str">
        <f t="shared" si="9"/>
        <v>F</v>
      </c>
      <c r="E75" s="30" t="str">
        <f>F75</f>
        <v>Salas</v>
      </c>
      <c r="F75" s="5" t="s">
        <v>731</v>
      </c>
      <c r="G75" s="5" t="s">
        <v>404</v>
      </c>
      <c r="H75" s="22">
        <v>29</v>
      </c>
      <c r="I75" s="27" t="s">
        <v>402</v>
      </c>
      <c r="J75" s="5" t="s">
        <v>401</v>
      </c>
      <c r="K75" s="5" t="s">
        <v>401</v>
      </c>
      <c r="L75" s="20" t="s">
        <v>401</v>
      </c>
      <c r="M75" s="17" t="str">
        <f t="shared" si="10"/>
        <v xml:space="preserve">INSERT INTO agresor (idAgresor, Nombre, Apellido, Edad, Ocupacion, Nacionalidad,Antecedentes) VALUES (' FSalas29 ',' Felipe ', ' Salas ', 29,' ND ',' Chilena ',' ND '); </v>
      </c>
    </row>
    <row r="76" spans="1:13" ht="15.75" thickBot="1">
      <c r="A76" t="str">
        <f t="shared" si="8"/>
        <v>JJorquera0</v>
      </c>
      <c r="B76" s="20" t="s">
        <v>732</v>
      </c>
      <c r="C76" s="20" t="s">
        <v>732</v>
      </c>
      <c r="D76" s="5" t="str">
        <f t="shared" si="9"/>
        <v>J</v>
      </c>
      <c r="E76" s="30" t="str">
        <f>F76</f>
        <v>Jorquera</v>
      </c>
      <c r="F76" s="5" t="s">
        <v>733</v>
      </c>
      <c r="G76" s="5" t="s">
        <v>463</v>
      </c>
      <c r="H76" s="5">
        <v>0</v>
      </c>
      <c r="I76" s="27" t="s">
        <v>402</v>
      </c>
      <c r="J76" s="5" t="s">
        <v>401</v>
      </c>
      <c r="K76" s="5" t="s">
        <v>401</v>
      </c>
      <c r="L76" s="20" t="s">
        <v>401</v>
      </c>
      <c r="M76" s="17" t="str">
        <f t="shared" si="10"/>
        <v xml:space="preserve">INSERT INTO agresor (idAgresor, Nombre, Apellido, Edad, Ocupacion, Nacionalidad,Antecedentes) VALUES (' JJorquera0 ',' Johnny ', ' Jorquera ', 0,' ND ',' Chilena ',' ND '); </v>
      </c>
    </row>
    <row r="77" spans="1:13" ht="30.75" thickBot="1">
      <c r="A77" t="str">
        <f t="shared" si="8"/>
        <v>PValdebenito21</v>
      </c>
      <c r="B77" s="20" t="s">
        <v>716</v>
      </c>
      <c r="C77" s="20" t="s">
        <v>716</v>
      </c>
      <c r="D77" s="5" t="str">
        <f t="shared" si="9"/>
        <v>P</v>
      </c>
      <c r="E77" s="30" t="str">
        <f>F77</f>
        <v>Valdebenito</v>
      </c>
      <c r="F77" s="5" t="s">
        <v>734</v>
      </c>
      <c r="G77" s="5" t="s">
        <v>416</v>
      </c>
      <c r="H77" s="22">
        <v>21</v>
      </c>
      <c r="I77" s="27" t="s">
        <v>402</v>
      </c>
      <c r="J77" s="5" t="s">
        <v>401</v>
      </c>
      <c r="K77" s="5" t="s">
        <v>401</v>
      </c>
      <c r="L77" s="20" t="s">
        <v>401</v>
      </c>
      <c r="M77" s="17" t="str">
        <f t="shared" si="10"/>
        <v xml:space="preserve">INSERT INTO agresor (idAgresor, Nombre, Apellido, Edad, Ocupacion, Nacionalidad,Antecedentes) VALUES (' PValdebenito21 ',' Patricio ', ' Valdebenito ', 21,' ND ',' Chilena ',' ND '); </v>
      </c>
    </row>
    <row r="78" spans="1:13" ht="30.75" thickBot="1">
      <c r="A78" t="str">
        <f t="shared" si="8"/>
        <v>AVelásquez55</v>
      </c>
      <c r="B78" s="20" t="s">
        <v>735</v>
      </c>
      <c r="C78" s="20" t="s">
        <v>735</v>
      </c>
      <c r="D78" s="5" t="str">
        <f t="shared" si="9"/>
        <v>A</v>
      </c>
      <c r="E78" s="30" t="str">
        <f>MID(F78,1,FIND(" ",F78,1)-1)</f>
        <v>Velásquez</v>
      </c>
      <c r="F78" s="5" t="s">
        <v>736</v>
      </c>
      <c r="G78" s="5" t="s">
        <v>416</v>
      </c>
      <c r="H78" s="22">
        <v>55</v>
      </c>
      <c r="I78" s="27" t="s">
        <v>402</v>
      </c>
      <c r="J78" s="5" t="s">
        <v>401</v>
      </c>
      <c r="K78" s="5" t="s">
        <v>401</v>
      </c>
      <c r="L78" s="20" t="s">
        <v>401</v>
      </c>
      <c r="M78" s="17" t="str">
        <f t="shared" si="10"/>
        <v xml:space="preserve">INSERT INTO agresor (idAgresor, Nombre, Apellido, Edad, Ocupacion, Nacionalidad,Antecedentes) VALUES (' AVelásquez55 ',' Allan ', ' Velásquez ', 55,' ND ',' Chilena ',' ND '); </v>
      </c>
    </row>
    <row r="79" spans="1:13" ht="15.75" thickBot="1">
      <c r="A79" t="str">
        <f t="shared" si="8"/>
        <v>PCruz63</v>
      </c>
      <c r="B79" s="20" t="s">
        <v>716</v>
      </c>
      <c r="C79" s="20" t="s">
        <v>716</v>
      </c>
      <c r="D79" s="5" t="str">
        <f t="shared" si="9"/>
        <v>P</v>
      </c>
      <c r="E79" s="30" t="str">
        <f>F79</f>
        <v>Cruz</v>
      </c>
      <c r="F79" s="5" t="s">
        <v>737</v>
      </c>
      <c r="G79" s="5" t="s">
        <v>414</v>
      </c>
      <c r="H79" s="22">
        <v>63</v>
      </c>
      <c r="I79" s="27" t="s">
        <v>402</v>
      </c>
      <c r="J79" s="5" t="s">
        <v>401</v>
      </c>
      <c r="K79" s="5" t="s">
        <v>401</v>
      </c>
      <c r="L79" s="20" t="s">
        <v>401</v>
      </c>
      <c r="M79" s="17" t="str">
        <f t="shared" si="10"/>
        <v xml:space="preserve">INSERT INTO agresor (idAgresor, Nombre, Apellido, Edad, Ocupacion, Nacionalidad,Antecedentes) VALUES (' PCruz63 ',' Patricio ', ' Cruz ', 63,' ND ',' Chilena ',' ND '); </v>
      </c>
    </row>
    <row r="80" spans="1:13" ht="30.75" thickBot="1">
      <c r="A80" t="str">
        <f t="shared" si="8"/>
        <v>JMuñoz85</v>
      </c>
      <c r="B80" s="20" t="s">
        <v>612</v>
      </c>
      <c r="C80" s="20" t="s">
        <v>612</v>
      </c>
      <c r="D80" s="5" t="str">
        <f t="shared" si="9"/>
        <v>J</v>
      </c>
      <c r="E80" s="30" t="str">
        <f>MID(F80,1,FIND(" ",F80,1)-1)</f>
        <v>Muñoz</v>
      </c>
      <c r="F80" s="5" t="s">
        <v>738</v>
      </c>
      <c r="G80" s="5" t="s">
        <v>418</v>
      </c>
      <c r="H80" s="22">
        <v>85</v>
      </c>
      <c r="I80" s="27" t="s">
        <v>402</v>
      </c>
      <c r="J80" s="5" t="s">
        <v>401</v>
      </c>
      <c r="K80" s="5" t="s">
        <v>401</v>
      </c>
      <c r="L80" s="20" t="s">
        <v>401</v>
      </c>
      <c r="M80" s="17" t="str">
        <f t="shared" si="10"/>
        <v xml:space="preserve">INSERT INTO agresor (idAgresor, Nombre, Apellido, Edad, Ocupacion, Nacionalidad,Antecedentes) VALUES (' JMuñoz85 ',' José ', ' Muñoz ', 85,' ND ',' Chilena ',' ND '); </v>
      </c>
    </row>
    <row r="81" spans="2:12" ht="15.75" thickBot="1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2:12" ht="15.75" thickBot="1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2:12" ht="15.75" thickBot="1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2:12" ht="15.75" thickBo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2:12" ht="15.75" thickBot="1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2:12" ht="15.75" thickBot="1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2:12" ht="15.75" thickBot="1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2:12" ht="15.75" thickBot="1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2:12" ht="15.75" thickBot="1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2:12" ht="15.75" thickBot="1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2:12" ht="15.75" thickBot="1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2:12" ht="15.75" thickBot="1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2:12" ht="15.75" thickBot="1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2:12" ht="15.75" thickBot="1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2:12" ht="15.75" thickBot="1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2:12" ht="15.75" thickBot="1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2:12" ht="15.75" thickBot="1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2:12" ht="15.75" thickBot="1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2:12" ht="15.75" thickBot="1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2:12" ht="15.75" thickBot="1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2:12" ht="15.75" thickBot="1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2:12" ht="15.75" thickBot="1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2:12" ht="15.75" thickBot="1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2:12" ht="15.75" thickBot="1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2:12" ht="15.75" thickBot="1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2:12" ht="15.75" thickBot="1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2:12" ht="15.75" thickBot="1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2:12" ht="15.75" thickBot="1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2:12" ht="15.75" thickBot="1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2:12" ht="15.75" thickBot="1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2:12" ht="15.75" thickBot="1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2:12" ht="15.75" thickBot="1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2:12" ht="15.75" thickBot="1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2:12" ht="15.75" thickBot="1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</row>
    <row r="115" spans="2:12" ht="15.75" thickBot="1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</row>
    <row r="116" spans="2:12" ht="15.75" thickBot="1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</row>
    <row r="117" spans="2:12" ht="15.75" thickBot="1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</row>
    <row r="118" spans="2:12" ht="15.75" thickBot="1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</row>
    <row r="119" spans="2:12" ht="15.75" thickBot="1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</row>
    <row r="120" spans="2:12" ht="15.75" thickBot="1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</row>
    <row r="121" spans="2:12" ht="15.75" thickBot="1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12" ht="15.75" thickBot="1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</row>
    <row r="123" spans="2:12" ht="15.75" thickBot="1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12" ht="15.75" thickBot="1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</row>
    <row r="125" spans="2:12" ht="15.75" thickBot="1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</row>
    <row r="126" spans="2:12" ht="15.75" thickBot="1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2:12" ht="15.75" thickBot="1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2:12" ht="15.75" thickBot="1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2:12" ht="15.75" thickBot="1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</row>
    <row r="130" spans="2:12" ht="15.75" thickBot="1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</row>
    <row r="131" spans="2:12" ht="15.75" thickBot="1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</row>
    <row r="132" spans="2:12" ht="15.75" thickBot="1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</row>
    <row r="133" spans="2:12" ht="15.75" thickBot="1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</row>
    <row r="134" spans="2:12" ht="15.75" thickBot="1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</row>
    <row r="135" spans="2:12" ht="15.75" thickBot="1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</row>
    <row r="136" spans="2:12" ht="15.75" thickBot="1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</row>
    <row r="137" spans="2:12" ht="15.75" thickBot="1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</row>
    <row r="138" spans="2:12" ht="15.75" thickBot="1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</row>
    <row r="139" spans="2:12" ht="15.75" thickBot="1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</row>
    <row r="140" spans="2:12" ht="15.75" thickBot="1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</row>
    <row r="141" spans="2:12" ht="15.75" thickBot="1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</row>
    <row r="142" spans="2:12" ht="15.75" thickBot="1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</row>
    <row r="143" spans="2:12" ht="15.75" thickBot="1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</row>
    <row r="144" spans="2:12" ht="15.75" thickBot="1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</row>
    <row r="145" spans="2:12" ht="15.75" thickBot="1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</row>
    <row r="146" spans="2:12" ht="15.75" thickBot="1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</row>
    <row r="147" spans="2:12" ht="15.75" thickBot="1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12" ht="15.75" thickBot="1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</row>
    <row r="149" spans="2:12" ht="15.75" thickBot="1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</row>
    <row r="150" spans="2:12" ht="15.75" thickBot="1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</row>
    <row r="151" spans="2:12" ht="15.75" thickBot="1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</row>
    <row r="152" spans="2:12" ht="15.75" thickBot="1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12" ht="15.75" thickBot="1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12" ht="15.75" thickBot="1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12" ht="15.75" thickBot="1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12" ht="15.75" thickBot="1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12" ht="15.75" thickBot="1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12" ht="15.75" thickBot="1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12" ht="15.75" thickBot="1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12" ht="15.75" thickBot="1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ht="15.75" thickBot="1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ht="15.75" thickBot="1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ht="15.75" thickBot="1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ht="15.75" thickBot="1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ht="15.75" thickBot="1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ht="15.75" thickBot="1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ht="15.75" thickBot="1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ht="15.75" thickBot="1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ht="15.75" thickBot="1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ht="15.75" thickBot="1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ht="15.75" thickBot="1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ht="15.75" thickBot="1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ht="15.75" thickBot="1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ht="15.75" thickBot="1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ht="15.75" thickBot="1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ht="15.75" thickBot="1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ht="15.75" thickBot="1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ht="15.75" thickBot="1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ht="15.75" thickBot="1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ht="15.75" thickBot="1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ht="15.75" thickBot="1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ht="15.75" thickBot="1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ht="15.75" thickBot="1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ht="15.75" thickBot="1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ht="15.75" thickBot="1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ht="15.75" thickBot="1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ht="15.75" thickBot="1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ht="15.75" thickBot="1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ht="15.75" thickBot="1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ht="15.75" thickBot="1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ht="15.75" thickBot="1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ht="15.75" thickBot="1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ht="15.75" thickBot="1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ht="15.75" thickBot="1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ht="15.75" thickBot="1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ht="15.75" thickBot="1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ht="15.75" thickBot="1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ht="15.75" thickBot="1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ht="15.75" thickBot="1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ht="15.75" thickBot="1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ht="15.75" thickBot="1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ht="15.75" thickBot="1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ht="15.75" thickBot="1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ht="15.75" thickBot="1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ht="15.75" thickBot="1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ht="15.75" thickBot="1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ht="15.75" thickBot="1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ht="15.75" thickBot="1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ht="15.75" thickBot="1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ht="15.75" thickBot="1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ht="15.75" thickBot="1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ht="15.75" thickBot="1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ht="15.75" thickBot="1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ht="15.75" thickBot="1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ht="15.75" thickBot="1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ht="15.75" thickBot="1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ht="15.75" thickBot="1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ht="15.75" thickBot="1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ht="15.75" thickBot="1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ht="15.75" thickBot="1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ht="15.75" thickBot="1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ht="15.75" thickBot="1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ht="15.75" thickBot="1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ht="15.75" thickBot="1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ht="15.75" thickBot="1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ht="15.75" thickBot="1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ht="15.75" thickBot="1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ht="15.75" thickBot="1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ht="15.75" thickBot="1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ht="15.75" thickBot="1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ht="15.75" thickBot="1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ht="15.75" thickBot="1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ht="15.75" thickBot="1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ht="15.75" thickBot="1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ht="15.75" thickBot="1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ht="15.75" thickBot="1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ht="15.75" thickBot="1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ht="15.75" thickBot="1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ht="15.75" thickBot="1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ht="15.75" thickBot="1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ht="15.75" thickBot="1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ht="15.75" thickBot="1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ht="15.75" thickBot="1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ht="15.75" thickBot="1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ht="15.75" thickBot="1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ht="15.75" thickBot="1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ht="15.75" thickBot="1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ht="15.75" thickBot="1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ht="15.75" thickBot="1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ht="15.75" thickBot="1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ht="15.75" thickBot="1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ht="15.75" thickBot="1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ht="15.75" thickBot="1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ht="15.75" thickBot="1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ht="15.75" thickBot="1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ht="15.75" thickBot="1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ht="15.75" thickBot="1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ht="15.75" thickBot="1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ht="15.75" thickBot="1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ht="15.75" thickBot="1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ht="15.75" thickBot="1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ht="15.75" thickBot="1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ht="15.75" thickBot="1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ht="15.75" thickBot="1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ht="15.75" thickBot="1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ht="15.75" thickBot="1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ht="15.75" thickBot="1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ht="15.75" thickBot="1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ht="15.75" thickBot="1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ht="15.75" thickBot="1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ht="15.75" thickBot="1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ht="15.75" thickBot="1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ht="15.75" thickBot="1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ht="15.75" thickBot="1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ht="15.75" thickBot="1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ht="15.75" thickBot="1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ht="15.75" thickBot="1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ht="15.75" thickBot="1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ht="15.75" thickBot="1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ht="15.75" thickBot="1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ht="15.75" thickBot="1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ht="15.75" thickBot="1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ht="15.75" thickBot="1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ht="15.75" thickBot="1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ht="15.75" thickBot="1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ht="15.75" thickBot="1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ht="15.75" thickBot="1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ht="15.75" thickBot="1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ht="15.75" thickBot="1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ht="15.75" thickBot="1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ht="15.75" thickBot="1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ht="15.75" thickBot="1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ht="15.75" thickBot="1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ht="15.75" thickBot="1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ht="15.75" thickBot="1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ht="15.75" thickBot="1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ht="15.75" thickBot="1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ht="15.75" thickBot="1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ht="15.75" thickBot="1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ht="15.75" thickBot="1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ht="15.75" thickBot="1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ht="15.75" thickBot="1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ht="15.75" thickBot="1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ht="15.75" thickBot="1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ht="15.75" thickBot="1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ht="15.75" thickBot="1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ht="15.75" thickBot="1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ht="15.75" thickBot="1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ht="15.75" thickBot="1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ht="15.75" thickBot="1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ht="15.75" thickBot="1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ht="15.75" thickBot="1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ht="15.75" thickBot="1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ht="15.75" thickBot="1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ht="15.75" thickBot="1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ht="15.75" thickBot="1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ht="15.75" thickBot="1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ht="15.75" thickBot="1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ht="15.75" thickBot="1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ht="15.75" thickBot="1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ht="15.75" thickBot="1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ht="15.75" thickBot="1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ht="15.75" thickBot="1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ht="15.75" thickBot="1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ht="15.75" thickBot="1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ht="15.75" thickBot="1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ht="15.75" thickBot="1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ht="15.75" thickBot="1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ht="15.75" thickBot="1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ht="15.75" thickBot="1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ht="15.75" thickBot="1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ht="15.75" thickBot="1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ht="15.75" thickBot="1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ht="15.75" thickBot="1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ht="15.75" thickBot="1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ht="15.75" thickBot="1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ht="15.75" thickBot="1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ht="15.75" thickBot="1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ht="15.75" thickBot="1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ht="15.75" thickBot="1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ht="15.75" thickBot="1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ht="15.75" thickBot="1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ht="15.75" thickBot="1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ht="15.75" thickBot="1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ht="15.75" thickBot="1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ht="15.75" thickBot="1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ht="15.75" thickBot="1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ht="15.75" thickBot="1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ht="15.75" thickBot="1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ht="15.75" thickBot="1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ht="15.75" thickBot="1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ht="15.75" thickBot="1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ht="15.75" thickBot="1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ht="15.75" thickBot="1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ht="15.75" thickBot="1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ht="15.75" thickBot="1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ht="15.75" thickBot="1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ht="15.75" thickBot="1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ht="15.75" thickBot="1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ht="15.75" thickBot="1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ht="15.75" thickBot="1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ht="15.75" thickBot="1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ht="15.75" thickBot="1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ht="15.75" thickBot="1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ht="15.75" thickBot="1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ht="15.75" thickBot="1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ht="15.75" thickBot="1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ht="15.75" thickBot="1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ht="15.75" thickBot="1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ht="15.75" thickBot="1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ht="15.75" thickBot="1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ht="15.75" thickBot="1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ht="15.75" thickBot="1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ht="15.75" thickBot="1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ht="15.75" thickBot="1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ht="15.75" thickBot="1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ht="15.75" thickBot="1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ht="15.75" thickBot="1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ht="15.75" thickBot="1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ht="15.75" thickBot="1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ht="15.75" thickBot="1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ht="15.75" thickBot="1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ht="15.75" thickBot="1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ht="15.75" thickBot="1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ht="15.75" thickBot="1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ht="15.75" thickBot="1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ht="15.75" thickBot="1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ht="15.75" thickBot="1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ht="15.75" thickBot="1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ht="15.75" thickBot="1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ht="15.75" thickBot="1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ht="15.75" thickBot="1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ht="15.75" thickBot="1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ht="15.75" thickBot="1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ht="15.75" thickBot="1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ht="15.75" thickBot="1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ht="15.75" thickBot="1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ht="15.75" thickBot="1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ht="15.75" thickBot="1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ht="15.75" thickBot="1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ht="15.75" thickBot="1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ht="15.75" thickBot="1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ht="15.75" thickBot="1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ht="15.75" thickBot="1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ht="15.75" thickBot="1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ht="15.75" thickBot="1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ht="15.75" thickBot="1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ht="15.75" thickBot="1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ht="15.75" thickBot="1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ht="15.75" thickBot="1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ht="15.75" thickBot="1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ht="15.75" thickBot="1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ht="15.75" thickBot="1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ht="15.75" thickBot="1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ht="15.75" thickBot="1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ht="15.75" thickBot="1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ht="15.75" thickBot="1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ht="15.75" thickBot="1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ht="15.75" thickBot="1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ht="15.75" thickBot="1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ht="15.75" thickBot="1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ht="15.75" thickBot="1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ht="15.75" thickBot="1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ht="15.75" thickBot="1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ht="15.75" thickBot="1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ht="15.75" thickBot="1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ht="15.75" thickBot="1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ht="15.75" thickBot="1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  <row r="429" spans="2:12" ht="15.75" thickBot="1"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</row>
    <row r="430" spans="2:12" ht="15.75" thickBot="1"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</row>
    <row r="431" spans="2:12" ht="15.75" thickBot="1"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</row>
    <row r="432" spans="2:12" ht="15.75" thickBot="1"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</row>
    <row r="433" spans="2:12" ht="15.75" thickBot="1"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</row>
    <row r="434" spans="2:12" ht="15.75" thickBot="1"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</row>
    <row r="435" spans="2:12" ht="15.75" thickBot="1"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</row>
    <row r="436" spans="2:12" ht="15.75" thickBot="1"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</row>
    <row r="437" spans="2:12" ht="15.75" thickBot="1"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</row>
    <row r="438" spans="2:12" ht="15.75" thickBot="1"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</row>
    <row r="439" spans="2:12" ht="15.75" thickBot="1"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</row>
    <row r="440" spans="2:12" ht="15.75" thickBot="1"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</row>
    <row r="441" spans="2:12" ht="15.75" thickBot="1"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</row>
    <row r="442" spans="2:12" ht="15.75" thickBot="1"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</row>
    <row r="443" spans="2:12" ht="15.75" thickBot="1"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</row>
    <row r="444" spans="2:12" ht="15.75" thickBot="1"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</row>
    <row r="445" spans="2:12" ht="15.75" thickBot="1"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</row>
    <row r="446" spans="2:12" ht="15.75" thickBot="1"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</row>
    <row r="447" spans="2:12" ht="15.75" thickBot="1"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</row>
    <row r="448" spans="2:12" ht="15.75" thickBot="1"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</row>
    <row r="449" spans="2:12" ht="15.75" thickBot="1"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</row>
    <row r="450" spans="2:12" ht="15.75" thickBot="1"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</row>
    <row r="451" spans="2:12" ht="15.75" thickBot="1"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</row>
    <row r="452" spans="2:12" ht="15.75" thickBot="1"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</row>
    <row r="453" spans="2:12" ht="15.75" thickBot="1"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</row>
    <row r="454" spans="2:12" ht="15.75" thickBot="1"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</row>
    <row r="455" spans="2:12" ht="15.75" thickBot="1"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</row>
    <row r="456" spans="2:12" ht="15.75" thickBot="1"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</row>
    <row r="457" spans="2:12" ht="15.75" thickBot="1"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</row>
    <row r="458" spans="2:12" ht="15.75" thickBot="1"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</row>
    <row r="459" spans="2:12" ht="15.75" thickBot="1"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</row>
    <row r="460" spans="2:12" ht="15.75" thickBot="1"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</row>
    <row r="461" spans="2:12" ht="15.75" thickBot="1"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</row>
    <row r="462" spans="2:12" ht="15.75" thickBot="1"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</row>
    <row r="463" spans="2:12" ht="15.75" thickBot="1"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</row>
    <row r="464" spans="2:12" ht="15.75" thickBot="1"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</row>
    <row r="465" spans="2:12" ht="15.75" thickBot="1"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</row>
    <row r="466" spans="2:12" ht="15.75" thickBot="1"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</row>
    <row r="467" spans="2:12" ht="15.75" thickBot="1"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</row>
    <row r="468" spans="2:12" ht="15.75" thickBot="1"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</row>
    <row r="469" spans="2:12" ht="15.75" thickBot="1"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</row>
    <row r="470" spans="2:12" ht="15.75" thickBot="1"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</row>
    <row r="471" spans="2:12" ht="15.75" thickBot="1"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</row>
    <row r="472" spans="2:12" ht="15.75" thickBot="1"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</row>
    <row r="473" spans="2:12" ht="15.75" thickBot="1"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</row>
    <row r="474" spans="2:12" ht="15.75" thickBot="1"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</row>
    <row r="475" spans="2:12" ht="15.75" thickBot="1"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</row>
    <row r="476" spans="2:12" ht="15.75" thickBot="1"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</row>
    <row r="477" spans="2:12" ht="15.75" thickBot="1"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</row>
    <row r="478" spans="2:12" ht="15.75" thickBot="1"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</row>
    <row r="479" spans="2:12" ht="15.75" thickBot="1"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</row>
    <row r="480" spans="2:12" ht="15.75" thickBot="1"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</row>
    <row r="481" spans="2:12" ht="15.75" thickBot="1"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</row>
    <row r="482" spans="2:12" ht="15.75" thickBot="1"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</row>
    <row r="483" spans="2:12" ht="15.75" thickBot="1"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</row>
    <row r="484" spans="2:12" ht="15.75" thickBot="1"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</row>
    <row r="485" spans="2:12" ht="15.75" thickBot="1"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</row>
    <row r="486" spans="2:12" ht="15.75" thickBot="1"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</row>
    <row r="487" spans="2:12" ht="15.75" thickBot="1"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</row>
    <row r="488" spans="2:12" ht="15.75" thickBot="1"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</row>
    <row r="489" spans="2:12" ht="15.75" thickBot="1"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</row>
    <row r="490" spans="2:12" ht="15.75" thickBot="1"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</row>
    <row r="491" spans="2:12" ht="15.75" thickBot="1"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</row>
    <row r="492" spans="2:12" ht="15.75" thickBot="1"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</row>
    <row r="493" spans="2:12" ht="15.75" thickBot="1"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</row>
    <row r="494" spans="2:12" ht="15.75" thickBot="1"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</row>
    <row r="495" spans="2:12" ht="15.75" thickBot="1"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</row>
    <row r="496" spans="2:12" ht="15.75" thickBot="1"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</row>
    <row r="497" spans="2:12" ht="15.75" thickBot="1"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</row>
    <row r="498" spans="2:12" ht="15.75" thickBot="1"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</row>
    <row r="499" spans="2:12" ht="15.75" thickBot="1"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</row>
    <row r="500" spans="2:12" ht="15.75" thickBot="1"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</row>
    <row r="501" spans="2:12" ht="15.75" thickBot="1"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</row>
    <row r="502" spans="2:12" ht="15.75" thickBot="1"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</row>
    <row r="503" spans="2:12" ht="15.75" thickBot="1"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</row>
    <row r="504" spans="2:12" ht="15.75" thickBot="1"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</row>
    <row r="505" spans="2:12" ht="15.75" thickBot="1"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</row>
    <row r="506" spans="2:12" ht="15.75" thickBot="1"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</row>
    <row r="507" spans="2:12" ht="15.75" thickBot="1"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</row>
    <row r="508" spans="2:12" ht="15.75" thickBot="1"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</row>
    <row r="509" spans="2:12" ht="15.75" thickBot="1"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</row>
    <row r="510" spans="2:12" ht="15.75" thickBot="1"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</row>
    <row r="511" spans="2:12" ht="15.75" thickBot="1"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</row>
    <row r="512" spans="2:12" ht="15.75" thickBot="1"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</row>
    <row r="513" spans="2:12" ht="15.75" thickBot="1"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</row>
    <row r="514" spans="2:12" ht="15.75" thickBot="1"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</row>
    <row r="515" spans="2:12" ht="15.75" thickBot="1"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</row>
    <row r="516" spans="2:12" ht="15.75" thickBot="1"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</row>
    <row r="517" spans="2:12" ht="15.75" thickBot="1"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</row>
    <row r="518" spans="2:12" ht="15.75" thickBot="1"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</row>
    <row r="519" spans="2:12" ht="15.75" thickBot="1"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</row>
    <row r="520" spans="2:12" ht="15.75" thickBot="1"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</row>
    <row r="521" spans="2:12" ht="15.75" thickBot="1"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</row>
    <row r="522" spans="2:12" ht="15.75" thickBot="1"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</row>
    <row r="523" spans="2:12" ht="15.75" thickBot="1"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</row>
    <row r="524" spans="2:12" ht="15.75" thickBot="1"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</row>
    <row r="525" spans="2:12" ht="15.75" thickBot="1"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</row>
    <row r="526" spans="2:12" ht="15.75" thickBot="1"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</row>
    <row r="527" spans="2:12" ht="15.75" thickBot="1"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</row>
    <row r="528" spans="2:12" ht="15.75" thickBot="1"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</row>
    <row r="529" spans="2:12" ht="15.75" thickBot="1"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</row>
    <row r="530" spans="2:12" ht="15.75" thickBot="1"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</row>
    <row r="531" spans="2:12" ht="15.75" thickBot="1"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</row>
    <row r="532" spans="2:12" ht="15.75" thickBot="1"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</row>
    <row r="533" spans="2:12" ht="15.75" thickBot="1"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</row>
    <row r="534" spans="2:12" ht="15.75" thickBot="1"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</row>
    <row r="535" spans="2:12" ht="15.75" thickBot="1"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</row>
    <row r="536" spans="2:12" ht="15.75" thickBot="1"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</row>
    <row r="537" spans="2:12" ht="15.75" thickBot="1"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</row>
    <row r="538" spans="2:12" ht="15.75" thickBot="1"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</row>
    <row r="539" spans="2:12" ht="15.75" thickBot="1"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</row>
    <row r="540" spans="2:12" ht="15.75" thickBot="1"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</row>
    <row r="541" spans="2:12" ht="15.75" thickBot="1"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</row>
    <row r="542" spans="2:12" ht="15.75" thickBot="1"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</row>
    <row r="543" spans="2:12" ht="15.75" thickBot="1"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</row>
    <row r="544" spans="2:12" ht="15.75" thickBot="1"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</row>
    <row r="545" spans="2:12" ht="15.75" thickBot="1"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</row>
    <row r="546" spans="2:12" ht="15.75" thickBot="1"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</row>
    <row r="547" spans="2:12" ht="15.75" thickBot="1"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</row>
    <row r="548" spans="2:12" ht="15.75" thickBot="1"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</row>
    <row r="549" spans="2:12" ht="15.75" thickBot="1"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</row>
    <row r="550" spans="2:12" ht="15.75" thickBot="1"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</row>
    <row r="551" spans="2:12" ht="15.75" thickBot="1"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</row>
    <row r="552" spans="2:12" ht="15.75" thickBot="1"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</row>
    <row r="553" spans="2:12" ht="15.75" thickBot="1"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</row>
    <row r="554" spans="2:12" ht="15.75" thickBot="1"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</row>
    <row r="555" spans="2:12" ht="15.75" thickBot="1"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</row>
    <row r="556" spans="2:12" ht="15.75" thickBot="1"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</row>
    <row r="557" spans="2:12" ht="15.75" thickBot="1"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</row>
    <row r="558" spans="2:12" ht="15.75" thickBot="1"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</row>
    <row r="559" spans="2:12" ht="15.75" thickBot="1"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</row>
    <row r="560" spans="2:12" ht="15.75" thickBot="1"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</row>
    <row r="561" spans="2:12" ht="15.75" thickBot="1"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</row>
    <row r="562" spans="2:12" ht="15.75" thickBot="1"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</row>
    <row r="563" spans="2:12" ht="15.75" thickBot="1"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</row>
    <row r="564" spans="2:12" ht="15.75" thickBot="1"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</row>
    <row r="565" spans="2:12" ht="15.75" thickBot="1"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</row>
    <row r="566" spans="2:12" ht="15.75" thickBot="1"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</row>
    <row r="567" spans="2:12" ht="15.75" thickBot="1"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</row>
    <row r="568" spans="2:12" ht="15.75" thickBot="1"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</row>
    <row r="569" spans="2:12" ht="15.75" thickBot="1"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</row>
    <row r="570" spans="2:12" ht="15.75" thickBot="1"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</row>
    <row r="571" spans="2:12" ht="15.75" thickBot="1"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</row>
    <row r="572" spans="2:12" ht="15.75" thickBot="1"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</row>
    <row r="573" spans="2:12" ht="15.75" thickBot="1"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</row>
    <row r="574" spans="2:12" ht="15.75" thickBot="1"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</row>
    <row r="575" spans="2:12" ht="15.75" thickBot="1"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</row>
    <row r="576" spans="2:12" ht="15.75" thickBot="1"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</row>
    <row r="577" spans="2:12" ht="15.75" thickBot="1"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</row>
    <row r="578" spans="2:12" ht="15.75" thickBot="1"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</row>
    <row r="579" spans="2:12" ht="15.75" thickBot="1"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</row>
    <row r="580" spans="2:12" ht="15.75" thickBot="1"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</row>
    <row r="581" spans="2:12" ht="15.75" thickBot="1"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</row>
    <row r="582" spans="2:12" ht="15.75" thickBot="1"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</row>
    <row r="583" spans="2:12" ht="15.75" thickBot="1"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</row>
    <row r="584" spans="2:12" ht="15.75" thickBot="1"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</row>
    <row r="585" spans="2:12" ht="15.75" thickBot="1"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</row>
    <row r="586" spans="2:12" ht="15.75" thickBot="1"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</row>
    <row r="587" spans="2:12" ht="15.75" thickBot="1"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</row>
    <row r="588" spans="2:12" ht="15.75" thickBot="1"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</row>
    <row r="589" spans="2:12" ht="15.75" thickBot="1"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</row>
    <row r="590" spans="2:12" ht="15.75" thickBot="1"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</row>
    <row r="591" spans="2:12" ht="15.75" thickBot="1"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</row>
    <row r="592" spans="2:12" ht="15.75" thickBot="1"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</row>
    <row r="593" spans="2:12" ht="15.75" thickBot="1"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</row>
    <row r="594" spans="2:12" ht="15.75" thickBot="1"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</row>
    <row r="595" spans="2:12" ht="15.75" thickBot="1"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</row>
    <row r="596" spans="2:12" ht="15.75" thickBot="1"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</row>
    <row r="597" spans="2:12" ht="15.75" thickBot="1"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</row>
    <row r="598" spans="2:12" ht="15.75" thickBot="1"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</row>
    <row r="599" spans="2:12" ht="15.75" thickBot="1"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</row>
    <row r="600" spans="2:12" ht="15.75" thickBot="1"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</row>
    <row r="601" spans="2:12" ht="15.75" thickBot="1"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</row>
    <row r="602" spans="2:12" ht="15.75" thickBot="1"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</row>
    <row r="603" spans="2:12" ht="15.75" thickBot="1"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</row>
    <row r="604" spans="2:12" ht="15.75" thickBot="1"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</row>
    <row r="605" spans="2:12" ht="15.75" thickBot="1"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</row>
    <row r="606" spans="2:12" ht="15.75" thickBot="1"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</row>
    <row r="607" spans="2:12" ht="15.75" thickBot="1"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</row>
    <row r="608" spans="2:12" ht="15.75" thickBot="1"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</row>
    <row r="609" spans="2:12" ht="15.75" thickBot="1"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</row>
    <row r="610" spans="2:12" ht="15.75" thickBot="1"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</row>
    <row r="611" spans="2:12" ht="15.75" thickBot="1"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</row>
    <row r="612" spans="2:12" ht="15.75" thickBot="1"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</row>
    <row r="613" spans="2:12" ht="15.75" thickBot="1"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</row>
    <row r="614" spans="2:12" ht="15.75" thickBot="1"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</row>
    <row r="615" spans="2:12" ht="15.75" thickBot="1"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</row>
    <row r="616" spans="2:12" ht="15.75" thickBot="1"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</row>
    <row r="617" spans="2:12" ht="15.75" thickBot="1"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</row>
    <row r="618" spans="2:12" ht="15.75" thickBot="1"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</row>
    <row r="619" spans="2:12" ht="15.75" thickBot="1"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</row>
    <row r="620" spans="2:12" ht="15.75" thickBot="1"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</row>
    <row r="621" spans="2:12" ht="15.75" thickBot="1"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</row>
    <row r="622" spans="2:12" ht="15.75" thickBot="1"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</row>
    <row r="623" spans="2:12" ht="15.75" thickBot="1"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</row>
    <row r="624" spans="2:12" ht="15.75" thickBot="1"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</row>
    <row r="625" spans="2:12" ht="15.75" thickBot="1"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</row>
    <row r="626" spans="2:12" ht="15.75" thickBot="1"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</row>
    <row r="627" spans="2:12" ht="15.75" thickBot="1"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</row>
    <row r="628" spans="2:12" ht="15.75" thickBot="1"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</row>
    <row r="629" spans="2:12" ht="15.75" thickBot="1"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</row>
    <row r="630" spans="2:12" ht="15.75" thickBot="1"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</row>
    <row r="631" spans="2:12" ht="15.75" thickBot="1"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</row>
    <row r="632" spans="2:12" ht="15.75" thickBot="1"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</row>
    <row r="633" spans="2:12" ht="15.75" thickBot="1"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</row>
    <row r="634" spans="2:12" ht="15.75" thickBot="1"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</row>
    <row r="635" spans="2:12" ht="15.75" thickBot="1"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</row>
    <row r="636" spans="2:12" ht="15.75" thickBot="1"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</row>
    <row r="637" spans="2:12" ht="15.75" thickBot="1"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</row>
    <row r="638" spans="2:12" ht="15.75" thickBot="1"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</row>
    <row r="639" spans="2:12" ht="15.75" thickBot="1"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</row>
    <row r="640" spans="2:12" ht="15.75" thickBot="1"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</row>
    <row r="641" spans="2:12" ht="15.75" thickBot="1"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</row>
    <row r="642" spans="2:12" ht="15.75" thickBot="1"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</row>
    <row r="643" spans="2:12" ht="15.75" thickBot="1"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</row>
    <row r="644" spans="2:12" ht="15.75" thickBot="1"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</row>
    <row r="645" spans="2:12" ht="15.75" thickBot="1"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</row>
    <row r="646" spans="2:12" ht="15.75" thickBot="1"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</row>
    <row r="647" spans="2:12" ht="15.75" thickBot="1"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</row>
    <row r="648" spans="2:12" ht="15.75" thickBot="1"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</row>
    <row r="649" spans="2:12" ht="15.75" thickBot="1"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</row>
    <row r="650" spans="2:12" ht="15.75" thickBot="1"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</row>
    <row r="651" spans="2:12" ht="15.75" thickBot="1"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</row>
    <row r="652" spans="2:12" ht="15.75" thickBot="1"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</row>
    <row r="653" spans="2:12" ht="15.75" thickBot="1"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</row>
    <row r="654" spans="2:12" ht="15.75" thickBot="1"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</row>
    <row r="655" spans="2:12" ht="15.75" thickBot="1"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</row>
    <row r="656" spans="2:12" ht="15.75" thickBot="1"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</row>
    <row r="657" spans="2:12" ht="15.75" thickBot="1"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</row>
    <row r="658" spans="2:12" ht="15.75" thickBot="1"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</row>
    <row r="659" spans="2:12" ht="15.75" thickBot="1"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</row>
    <row r="660" spans="2:12" ht="15.75" thickBot="1"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</row>
    <row r="661" spans="2:12" ht="15.75" thickBot="1"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</row>
    <row r="662" spans="2:12" ht="15.75" thickBot="1"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</row>
    <row r="663" spans="2:12" ht="15.75" thickBot="1"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</row>
    <row r="664" spans="2:12" ht="15.75" thickBot="1"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</row>
    <row r="665" spans="2:12" ht="15.75" thickBot="1"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</row>
    <row r="666" spans="2:12" ht="15.75" thickBot="1"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</row>
    <row r="667" spans="2:12" ht="15.75" thickBot="1"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</row>
    <row r="668" spans="2:12" ht="15.75" thickBot="1"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</row>
    <row r="669" spans="2:12" ht="15.75" thickBot="1"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</row>
    <row r="670" spans="2:12" ht="15.75" thickBot="1"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</row>
    <row r="671" spans="2:12" ht="15.75" thickBot="1"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</row>
    <row r="672" spans="2:12" ht="15.75" thickBot="1"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</row>
    <row r="673" spans="2:12" ht="15.75" thickBot="1"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</row>
    <row r="674" spans="2:12" ht="15.75" thickBot="1"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</row>
    <row r="675" spans="2:12" ht="15.75" thickBot="1"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</row>
    <row r="676" spans="2:12" ht="15.75" thickBot="1"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</row>
    <row r="677" spans="2:12" ht="15.75" thickBot="1"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</row>
    <row r="678" spans="2:12" ht="15.75" thickBot="1"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</row>
    <row r="679" spans="2:12" ht="15.75" thickBot="1"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</row>
    <row r="680" spans="2:12" ht="15.75" thickBot="1"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</row>
    <row r="681" spans="2:12" ht="15.75" thickBot="1"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</row>
    <row r="682" spans="2:12" ht="15.75" thickBot="1"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</row>
    <row r="683" spans="2:12" ht="15.75" thickBot="1"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</row>
    <row r="684" spans="2:12" ht="15.75" thickBot="1"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</row>
    <row r="685" spans="2:12" ht="15.75" thickBot="1"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</row>
    <row r="686" spans="2:12" ht="15.75" thickBot="1"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</row>
    <row r="687" spans="2:12" ht="15.75" thickBot="1"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</row>
    <row r="688" spans="2:12" ht="15.75" thickBot="1"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</row>
    <row r="689" spans="2:12" ht="15.75" thickBot="1"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</row>
    <row r="690" spans="2:12" ht="15.75" thickBot="1"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</row>
    <row r="691" spans="2:12" ht="15.75" thickBot="1"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</row>
    <row r="692" spans="2:12" ht="15.75" thickBot="1"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</row>
    <row r="693" spans="2:12" ht="15.75" thickBot="1"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</row>
    <row r="694" spans="2:12" ht="15.75" thickBot="1"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</row>
    <row r="695" spans="2:12" ht="15.75" thickBot="1"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</row>
    <row r="696" spans="2:12" ht="15.75" thickBot="1"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</row>
    <row r="697" spans="2:12" ht="15.75" thickBot="1"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</row>
    <row r="698" spans="2:12" ht="15.75" thickBot="1"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</row>
    <row r="699" spans="2:12" ht="15.75" thickBot="1"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</row>
    <row r="700" spans="2:12" ht="15.75" thickBot="1"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</row>
    <row r="701" spans="2:12" ht="15.75" thickBot="1"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</row>
    <row r="702" spans="2:12" ht="15.75" thickBot="1"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</row>
    <row r="703" spans="2:12" ht="15.75" thickBot="1"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</row>
    <row r="704" spans="2:12" ht="15.75" thickBot="1"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</row>
    <row r="705" spans="2:12" ht="15.75" thickBot="1"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</row>
    <row r="706" spans="2:12" ht="15.75" thickBot="1"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</row>
    <row r="707" spans="2:12" ht="15.75" thickBot="1"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</row>
    <row r="708" spans="2:12" ht="15.75" thickBot="1"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</row>
    <row r="709" spans="2:12" ht="15.75" thickBot="1"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</row>
    <row r="710" spans="2:12" ht="15.75" thickBot="1"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</row>
    <row r="711" spans="2:12" ht="15.75" thickBot="1"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</row>
    <row r="712" spans="2:12" ht="15.75" thickBot="1"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</row>
    <row r="713" spans="2:12" ht="15.75" thickBot="1"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</row>
    <row r="714" spans="2:12" ht="15.75" thickBot="1"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</row>
    <row r="715" spans="2:12" ht="15.75" thickBot="1"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</row>
    <row r="716" spans="2:12" ht="15.75" thickBot="1"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</row>
    <row r="717" spans="2:12" ht="15.75" thickBot="1"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</row>
    <row r="718" spans="2:12" ht="15.75" thickBot="1"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</row>
    <row r="719" spans="2:12" ht="15.75" thickBot="1"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</row>
    <row r="720" spans="2:12" ht="15.75" thickBot="1"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</row>
    <row r="721" spans="2:12" ht="15.75" thickBot="1"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</row>
    <row r="722" spans="2:12" ht="15.75" thickBot="1"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</row>
    <row r="723" spans="2:12" ht="15.75" thickBot="1"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</row>
    <row r="724" spans="2:12" ht="15.75" thickBot="1"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</row>
    <row r="725" spans="2:12" ht="15.75" thickBot="1"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</row>
    <row r="726" spans="2:12" ht="15.75" thickBot="1"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</row>
    <row r="727" spans="2:12" ht="15.75" thickBot="1"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</row>
    <row r="728" spans="2:12" ht="15.75" thickBot="1"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</row>
    <row r="729" spans="2:12" ht="15.75" thickBot="1"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</row>
    <row r="730" spans="2:12" ht="15.75" thickBot="1"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</row>
    <row r="731" spans="2:12" ht="15.75" thickBot="1"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</row>
    <row r="732" spans="2:12" ht="15.75" thickBot="1"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</row>
    <row r="733" spans="2:12" ht="15.75" thickBot="1"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</row>
    <row r="734" spans="2:12" ht="15.75" thickBot="1"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</row>
    <row r="735" spans="2:12" ht="15.75" thickBot="1"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</row>
    <row r="736" spans="2:12" ht="15.75" thickBot="1"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</row>
    <row r="737" spans="2:12" ht="15.75" thickBot="1"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</row>
    <row r="738" spans="2:12" ht="15.75" thickBot="1"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</row>
    <row r="739" spans="2:12" ht="15.75" thickBot="1"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</row>
    <row r="740" spans="2:12" ht="15.75" thickBot="1"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</row>
    <row r="741" spans="2:12" ht="15.75" thickBot="1"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</row>
    <row r="742" spans="2:12" ht="15.75" thickBot="1"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</row>
    <row r="743" spans="2:12" ht="15.75" thickBot="1"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</row>
    <row r="744" spans="2:12" ht="15.75" thickBot="1"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</row>
    <row r="745" spans="2:12" ht="15.75" thickBot="1"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</row>
    <row r="746" spans="2:12" ht="15.75" thickBot="1"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</row>
    <row r="747" spans="2:12" ht="15.75" thickBot="1"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</row>
    <row r="748" spans="2:12" ht="15.75" thickBot="1"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</row>
    <row r="749" spans="2:12" ht="15.75" thickBot="1"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</row>
    <row r="750" spans="2:12" ht="15.75" thickBot="1"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</row>
    <row r="751" spans="2:12" ht="15.75" thickBot="1"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</row>
    <row r="752" spans="2:12" ht="15.75" thickBot="1"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</row>
    <row r="753" spans="2:12" ht="15.75" thickBot="1"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</row>
    <row r="754" spans="2:12" ht="15.75" thickBot="1"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</row>
    <row r="755" spans="2:12" ht="15.75" thickBot="1"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</row>
    <row r="756" spans="2:12" ht="15.75" thickBot="1"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</row>
    <row r="757" spans="2:12" ht="15.75" thickBot="1"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</row>
    <row r="758" spans="2:12" ht="15.75" thickBot="1"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</row>
    <row r="759" spans="2:12" ht="15.75" thickBot="1"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</row>
    <row r="760" spans="2:12" ht="15.75" thickBot="1"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</row>
    <row r="761" spans="2:12" ht="15.75" thickBot="1"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</row>
    <row r="762" spans="2:12" ht="15.75" thickBot="1"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</row>
    <row r="763" spans="2:12" ht="15.75" thickBot="1"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</row>
    <row r="764" spans="2:12" ht="15.75" thickBot="1"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</row>
    <row r="765" spans="2:12" ht="15.75" thickBot="1"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</row>
    <row r="766" spans="2:12" ht="15.75" thickBot="1"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</row>
    <row r="767" spans="2:12" ht="15.75" thickBot="1"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</row>
    <row r="768" spans="2:12" ht="15.75" thickBot="1"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</row>
    <row r="769" spans="2:12" ht="15.75" thickBot="1"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</row>
    <row r="770" spans="2:12" ht="15.75" thickBot="1"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</row>
    <row r="771" spans="2:12" ht="15.75" thickBot="1"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</row>
    <row r="772" spans="2:12" ht="15.75" thickBot="1"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</row>
    <row r="773" spans="2:12" ht="15.75" thickBot="1"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</row>
    <row r="774" spans="2:12" ht="15.75" thickBot="1"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</row>
    <row r="775" spans="2:12" ht="15.75" thickBot="1"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</row>
    <row r="776" spans="2:12" ht="15.75" thickBot="1"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</row>
    <row r="777" spans="2:12" ht="15.75" thickBot="1"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</row>
    <row r="778" spans="2:12" ht="15.75" thickBot="1"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</row>
    <row r="779" spans="2:12" ht="15.75" thickBot="1"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</row>
    <row r="780" spans="2:12" ht="15.75" thickBot="1"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</row>
    <row r="781" spans="2:12" ht="15.75" thickBot="1"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</row>
    <row r="782" spans="2:12" ht="15.75" thickBot="1"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</row>
    <row r="783" spans="2:12" ht="15.75" thickBot="1"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</row>
    <row r="784" spans="2:12" ht="15.75" thickBot="1"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</row>
    <row r="785" spans="2:12" ht="15.75" thickBot="1"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</row>
    <row r="786" spans="2:12" ht="15.75" thickBot="1"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</row>
    <row r="787" spans="2:12" ht="15.75" thickBot="1"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</row>
    <row r="788" spans="2:12" ht="15.75" thickBot="1"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</row>
    <row r="789" spans="2:12" ht="15.75" thickBot="1"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</row>
    <row r="790" spans="2:12" ht="15.75" thickBot="1"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</row>
    <row r="791" spans="2:12" ht="15.75" thickBot="1"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</row>
    <row r="792" spans="2:12" ht="15.75" thickBot="1"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</row>
    <row r="793" spans="2:12" ht="15.75" thickBot="1"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</row>
    <row r="794" spans="2:12" ht="15.75" thickBot="1"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</row>
    <row r="795" spans="2:12" ht="15.75" thickBot="1"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</row>
    <row r="796" spans="2:12" ht="15.75" thickBot="1"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</row>
    <row r="797" spans="2:12" ht="15.75" thickBot="1"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</row>
    <row r="798" spans="2:12" ht="15.75" thickBot="1"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</row>
    <row r="799" spans="2:12" ht="15.75" thickBot="1"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</row>
    <row r="800" spans="2:12" ht="15.75" thickBot="1"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</row>
    <row r="801" spans="2:12" ht="15.75" thickBot="1"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</row>
    <row r="802" spans="2:12" ht="15.75" thickBot="1"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</row>
    <row r="803" spans="2:12" ht="15.75" thickBot="1"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</row>
    <row r="804" spans="2:12" ht="15.75" thickBot="1"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</row>
    <row r="805" spans="2:12" ht="15.75" thickBot="1"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</row>
    <row r="806" spans="2:12" ht="15.75" thickBot="1"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</row>
    <row r="807" spans="2:12" ht="15.75" thickBot="1"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</row>
    <row r="808" spans="2:12" ht="15.75" thickBot="1"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</row>
    <row r="809" spans="2:12" ht="15.75" thickBot="1"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</row>
    <row r="810" spans="2:12" ht="15.75" thickBot="1"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</row>
    <row r="811" spans="2:12" ht="15.75" thickBot="1"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</row>
    <row r="812" spans="2:12" ht="15.75" thickBot="1"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</row>
    <row r="813" spans="2:12" ht="15.75" thickBot="1"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</row>
    <row r="814" spans="2:12" ht="15.75" thickBot="1"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</row>
    <row r="815" spans="2:12" ht="15.75" thickBot="1"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</row>
    <row r="816" spans="2:12" ht="15.75" thickBot="1"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</row>
    <row r="817" spans="2:12" ht="15.75" thickBot="1"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</row>
    <row r="818" spans="2:12" ht="15.75" thickBot="1"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</row>
    <row r="819" spans="2:12" ht="15.75" thickBot="1"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</row>
    <row r="820" spans="2:12" ht="15.75" thickBot="1"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</row>
    <row r="821" spans="2:12" ht="15.75" thickBot="1"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</row>
    <row r="822" spans="2:12" ht="15.75" thickBot="1"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</row>
    <row r="823" spans="2:12" ht="15.75" thickBot="1"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</row>
    <row r="824" spans="2:12" ht="15.75" thickBot="1"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</row>
    <row r="825" spans="2:12" ht="15.75" thickBot="1"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</row>
    <row r="826" spans="2:12" ht="15.75" thickBot="1"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</row>
    <row r="827" spans="2:12" ht="15.75" thickBot="1"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</row>
    <row r="828" spans="2:12" ht="15.75" thickBot="1"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</row>
    <row r="829" spans="2:12" ht="15.75" thickBot="1"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</row>
    <row r="830" spans="2:12" ht="15.75" thickBot="1"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</row>
    <row r="831" spans="2:12" ht="15.75" thickBot="1"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</row>
    <row r="832" spans="2:12" ht="15.75" thickBot="1"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</row>
    <row r="833" spans="2:12" ht="15.75" thickBot="1"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</row>
    <row r="834" spans="2:12" ht="15.75" thickBot="1"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</row>
    <row r="835" spans="2:12" ht="15.75" thickBot="1"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</row>
    <row r="836" spans="2:12" ht="15.75" thickBot="1"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</row>
    <row r="837" spans="2:12" ht="15.75" thickBot="1"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</row>
    <row r="838" spans="2:12" ht="15.75" thickBot="1"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</row>
    <row r="839" spans="2:12" ht="15.75" thickBot="1"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</row>
    <row r="840" spans="2:12" ht="15.75" thickBot="1"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</row>
    <row r="841" spans="2:12" ht="15.75" thickBot="1"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</row>
    <row r="842" spans="2:12" ht="15.75" thickBot="1"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</row>
    <row r="843" spans="2:12" ht="15.75" thickBot="1"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</row>
    <row r="844" spans="2:12" ht="15.75" thickBot="1"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</row>
    <row r="845" spans="2:12" ht="15.75" thickBot="1"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</row>
    <row r="846" spans="2:12" ht="15.75" thickBot="1"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</row>
    <row r="847" spans="2:12" ht="15.75" thickBot="1"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</row>
    <row r="848" spans="2:12" ht="15.75" thickBot="1"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</row>
    <row r="849" spans="2:12" ht="15.75" thickBot="1"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</row>
    <row r="850" spans="2:12" ht="15.75" thickBot="1"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</row>
    <row r="851" spans="2:12" ht="15.75" thickBot="1"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</row>
    <row r="852" spans="2:12" ht="15.75" thickBot="1"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</row>
    <row r="853" spans="2:12" ht="15.75" thickBot="1"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</row>
    <row r="854" spans="2:12" ht="15.75" thickBot="1"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</row>
    <row r="855" spans="2:12" ht="15.75" thickBot="1"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</row>
    <row r="856" spans="2:12" ht="15.75" thickBot="1"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</row>
    <row r="857" spans="2:12" ht="15.75" thickBot="1"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</row>
    <row r="858" spans="2:12" ht="15.75" thickBot="1"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</row>
    <row r="859" spans="2:12" ht="15.75" thickBot="1"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</row>
    <row r="860" spans="2:12" ht="15.75" thickBot="1"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</row>
    <row r="861" spans="2:12" ht="15.75" thickBot="1"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</row>
    <row r="862" spans="2:12" ht="15.75" thickBot="1"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</row>
    <row r="863" spans="2:12" ht="15.75" thickBot="1"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</row>
    <row r="864" spans="2:12" ht="15.75" thickBot="1"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</row>
    <row r="865" spans="2:12" ht="15.75" thickBot="1"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</row>
    <row r="866" spans="2:12" ht="15.75" thickBot="1"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</row>
    <row r="867" spans="2:12" ht="15.75" thickBot="1"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</row>
    <row r="868" spans="2:12" ht="15.75" thickBot="1"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</row>
    <row r="869" spans="2:12" ht="15.75" thickBot="1"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</row>
    <row r="870" spans="2:12" ht="15.75" thickBot="1"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</row>
    <row r="871" spans="2:12" ht="15.75" thickBot="1"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</row>
    <row r="872" spans="2:12" ht="15.75" thickBot="1"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</row>
    <row r="873" spans="2:12" ht="15.75" thickBot="1"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</row>
    <row r="874" spans="2:12" ht="15.75" thickBot="1"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</row>
    <row r="875" spans="2:12" ht="15.75" thickBot="1"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</row>
    <row r="876" spans="2:12" ht="15.75" thickBot="1"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</row>
    <row r="877" spans="2:12" ht="15.75" thickBot="1"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</row>
    <row r="878" spans="2:12" ht="15.75" thickBot="1"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</row>
    <row r="879" spans="2:12" ht="15.75" thickBot="1"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</row>
    <row r="880" spans="2:12" ht="15.75" thickBot="1"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</row>
    <row r="881" spans="2:12" ht="15.75" thickBot="1"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</row>
    <row r="882" spans="2:12" ht="15.75" thickBot="1"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</row>
    <row r="883" spans="2:12" ht="15.75" thickBot="1"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</row>
    <row r="884" spans="2:12" ht="15.75" thickBot="1"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</row>
    <row r="885" spans="2:12" ht="15.75" thickBot="1"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</row>
    <row r="886" spans="2:12" ht="15.75" thickBot="1"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</row>
    <row r="887" spans="2:12" ht="15.75" thickBot="1"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</row>
    <row r="888" spans="2:12" ht="15.75" thickBot="1"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</row>
    <row r="889" spans="2:12" ht="15.75" thickBot="1"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</row>
    <row r="890" spans="2:12" ht="15.75" thickBot="1"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</row>
    <row r="891" spans="2:12" ht="15.75" thickBot="1"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</row>
    <row r="892" spans="2:12" ht="15.75" thickBot="1"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</row>
    <row r="893" spans="2:12" ht="15.75" thickBot="1"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</row>
    <row r="894" spans="2:12" ht="15.75" thickBot="1"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</row>
    <row r="895" spans="2:12" ht="15.75" thickBot="1"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</row>
    <row r="896" spans="2:12" ht="15.75" thickBot="1"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</row>
    <row r="897" spans="2:12" ht="15.75" thickBot="1"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</row>
    <row r="898" spans="2:12" ht="15.75" thickBot="1"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</row>
    <row r="899" spans="2:12" ht="15.75" thickBot="1"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</row>
    <row r="900" spans="2:12" ht="15.75" thickBot="1"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</row>
    <row r="901" spans="2:12" ht="15.75" thickBot="1"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</row>
    <row r="902" spans="2:12" ht="15.75" thickBot="1"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</row>
    <row r="903" spans="2:12" ht="15.75" thickBot="1"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</row>
    <row r="904" spans="2:12" ht="15.75" thickBot="1"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</row>
    <row r="905" spans="2:12" ht="15.75" thickBot="1"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</row>
    <row r="906" spans="2:12" ht="15.75" thickBot="1"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</row>
    <row r="907" spans="2:12" ht="15.75" thickBot="1"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</row>
    <row r="908" spans="2:12" ht="15.75" thickBot="1"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</row>
    <row r="909" spans="2:12" ht="15.75" thickBot="1"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</row>
    <row r="910" spans="2:12" ht="15.75" thickBot="1"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</row>
    <row r="911" spans="2:12" ht="15.75" thickBot="1"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</row>
    <row r="912" spans="2:12" ht="15.75" thickBot="1"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</row>
    <row r="913" spans="2:12" ht="15.75" thickBot="1"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</row>
    <row r="914" spans="2:12" ht="15.75" thickBot="1"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</row>
    <row r="915" spans="2:12" ht="15.75" thickBot="1"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</row>
    <row r="916" spans="2:12" ht="15.75" thickBot="1"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</row>
    <row r="917" spans="2:12" ht="15.75" thickBot="1"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</row>
    <row r="918" spans="2:12" ht="15.75" thickBot="1"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</row>
    <row r="919" spans="2:12" ht="15.75" thickBot="1"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</row>
    <row r="920" spans="2:12" ht="15.75" thickBot="1"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</row>
    <row r="921" spans="2:12" ht="15.75" thickBot="1"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</row>
    <row r="922" spans="2:12" ht="15.75" thickBot="1"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</row>
    <row r="923" spans="2:12" ht="15.75" thickBot="1"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</row>
    <row r="924" spans="2:12" ht="15.75" thickBot="1"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</row>
    <row r="925" spans="2:12" ht="15.75" thickBot="1"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</row>
    <row r="926" spans="2:12" ht="15.75" thickBot="1"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</row>
    <row r="927" spans="2:12" ht="15.75" thickBot="1"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</row>
    <row r="928" spans="2:12" ht="15.75" thickBot="1"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</row>
    <row r="929" spans="2:12" ht="15.75" thickBot="1"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</row>
    <row r="930" spans="2:12" ht="15.75" thickBot="1"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</row>
    <row r="931" spans="2:12" ht="15.75" thickBot="1"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</row>
    <row r="932" spans="2:12" ht="15.75" thickBot="1"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</row>
    <row r="933" spans="2:12" ht="15.75" thickBot="1"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</row>
    <row r="934" spans="2:12" ht="15.75" thickBot="1"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</row>
    <row r="935" spans="2:12" ht="15.75" thickBot="1"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</row>
    <row r="936" spans="2:12" ht="15.75" thickBot="1"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</row>
    <row r="937" spans="2:12" ht="15.75" thickBot="1"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</row>
    <row r="938" spans="2:12" ht="15.75" thickBot="1"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</row>
    <row r="939" spans="2:12" ht="15.75" thickBot="1"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</row>
    <row r="940" spans="2:12" ht="15.75" thickBot="1"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</row>
    <row r="941" spans="2:12" ht="15.75" thickBot="1"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</row>
    <row r="942" spans="2:12" ht="15.75" thickBot="1"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</row>
    <row r="943" spans="2:12" ht="15.75" thickBot="1"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</row>
    <row r="944" spans="2:12" ht="15.75" thickBot="1"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</row>
    <row r="945" spans="2:12" ht="15.75" thickBot="1"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</row>
    <row r="946" spans="2:12" ht="15.75" thickBot="1"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</row>
    <row r="947" spans="2:12" ht="15.75" thickBot="1"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</row>
    <row r="948" spans="2:12" ht="15.75" thickBot="1"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</row>
    <row r="949" spans="2:12" ht="15.75" thickBot="1"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</row>
    <row r="950" spans="2:12" ht="15.75" thickBot="1"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</row>
    <row r="951" spans="2:12" ht="15.75" thickBot="1"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</row>
    <row r="952" spans="2:12" ht="15.75" thickBot="1"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</row>
    <row r="953" spans="2:12" ht="15.75" thickBot="1"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</row>
    <row r="954" spans="2:12" ht="15.75" thickBot="1"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</row>
    <row r="955" spans="2:12" ht="15.75" thickBot="1"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</row>
    <row r="956" spans="2:12" ht="15.75" thickBot="1"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</row>
    <row r="957" spans="2:12" ht="15.75" thickBot="1"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</row>
    <row r="958" spans="2:12" ht="15.75" thickBot="1"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</row>
    <row r="959" spans="2:12" ht="15.75" thickBot="1"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</row>
    <row r="960" spans="2:12" ht="15.75" thickBot="1"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</row>
    <row r="961" spans="2:12" ht="15.75" thickBot="1"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</row>
    <row r="962" spans="2:12" ht="15.75" thickBot="1"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</row>
    <row r="963" spans="2:12" ht="15.75" thickBot="1"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</row>
    <row r="964" spans="2:12" ht="15.75" thickBot="1"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</row>
    <row r="965" spans="2:12" ht="15.75" thickBot="1"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</row>
    <row r="966" spans="2:12" ht="15.75" thickBot="1"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</row>
    <row r="967" spans="2:12" ht="15.75" thickBot="1"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</row>
    <row r="968" spans="2:12" ht="15.75" thickBot="1"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</row>
    <row r="969" spans="2:12" ht="15.75" thickBot="1"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</row>
    <row r="970" spans="2:12" ht="15.75" thickBot="1"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</row>
    <row r="971" spans="2:12" ht="15.75" thickBot="1"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</row>
    <row r="972" spans="2:12" ht="15.75" thickBot="1"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</row>
    <row r="973" spans="2:12" ht="15.75" thickBot="1"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</row>
    <row r="974" spans="2:12" ht="15.75" thickBot="1"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</row>
    <row r="975" spans="2:12" ht="15.75" thickBot="1"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</row>
    <row r="976" spans="2:12" ht="15.75" thickBot="1"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</row>
    <row r="977" spans="2:12" ht="15.75" thickBot="1"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</row>
    <row r="978" spans="2:12" ht="15.75" thickBot="1"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</row>
    <row r="979" spans="2:12" ht="15.75" thickBot="1"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79"/>
  <sheetViews>
    <sheetView workbookViewId="0">
      <selection activeCell="G2" sqref="G2"/>
    </sheetView>
  </sheetViews>
  <sheetFormatPr baseColWidth="10" defaultRowHeight="15"/>
  <cols>
    <col min="1" max="1" width="17.140625" customWidth="1"/>
  </cols>
  <sheetData>
    <row r="1" spans="1:7" ht="15.75" thickBot="1">
      <c r="A1" s="18" t="s">
        <v>740</v>
      </c>
      <c r="B1" s="18" t="s">
        <v>744</v>
      </c>
      <c r="C1" s="19" t="s">
        <v>745</v>
      </c>
      <c r="D1" s="19" t="s">
        <v>746</v>
      </c>
      <c r="E1" s="19" t="s">
        <v>747</v>
      </c>
      <c r="F1" s="19" t="s">
        <v>748</v>
      </c>
    </row>
    <row r="2" spans="1:7" ht="45.75" thickBot="1">
      <c r="A2" s="21" t="s">
        <v>858</v>
      </c>
      <c r="B2" s="20" t="s">
        <v>857</v>
      </c>
      <c r="C2" s="5" t="s">
        <v>749</v>
      </c>
      <c r="D2" s="5" t="s">
        <v>750</v>
      </c>
      <c r="E2" s="5" t="s">
        <v>751</v>
      </c>
      <c r="F2" s="5" t="s">
        <v>752</v>
      </c>
      <c r="G2" s="17" t="str">
        <f>"INSERT INTO lugar (id,Pais, Region, Comuna,Direccion) VALUES (' "&amp;A2&amp;" ',' "&amp;D2&amp;" ', ' "&amp;E2&amp;" ',' "&amp;F2&amp;" ',' "&amp;C2&amp;" '); "</f>
        <v xml:space="preserve">INSERT INTO lugar (id,Pais, Region, Comuna,Direccion) VALUES (' IP2017ch1 ',' Chile ', ' Llolleo ',' San Antonio ',' calle Los Aromos #1260 '); </v>
      </c>
    </row>
    <row r="3" spans="1:7" ht="75.75" thickBot="1">
      <c r="A3" s="21" t="s">
        <v>859</v>
      </c>
      <c r="B3" s="20" t="s">
        <v>857</v>
      </c>
      <c r="C3" s="5" t="s">
        <v>753</v>
      </c>
      <c r="D3" s="5" t="s">
        <v>750</v>
      </c>
      <c r="E3" s="5" t="s">
        <v>754</v>
      </c>
      <c r="F3" s="5" t="s">
        <v>755</v>
      </c>
      <c r="G3" s="17" t="str">
        <f t="shared" ref="G3:G66" si="0">"INSERT INTO lugar (id,Pais, Region, Comuna,Direccion) VALUES (' "&amp;A3&amp;" ',' "&amp;D3&amp;" ', ' "&amp;E3&amp;" ',' "&amp;F3&amp;" ',' "&amp;C3&amp;" '); "</f>
        <v xml:space="preserve">INSERT INTO lugar (id,Pais, Region, Comuna,Direccion) VALUES (' SN2017ch2 ',' Chile ', ' Metropolitana de Santiago ',' Melipilla ',' Melipilla, a 70 kilómetros al suroeste de Santiago '); </v>
      </c>
    </row>
    <row r="4" spans="1:7" ht="45.75" thickBot="1">
      <c r="A4" s="21" t="s">
        <v>860</v>
      </c>
      <c r="B4" s="20" t="s">
        <v>857</v>
      </c>
      <c r="C4" s="5" t="s">
        <v>401</v>
      </c>
      <c r="D4" s="5" t="s">
        <v>750</v>
      </c>
      <c r="E4" s="5" t="s">
        <v>754</v>
      </c>
      <c r="F4" s="5" t="s">
        <v>756</v>
      </c>
      <c r="G4" s="17" t="str">
        <f t="shared" si="0"/>
        <v xml:space="preserve">INSERT INTO lugar (id,Pais, Region, Comuna,Direccion) VALUES (' LH2017ch3 ',' Chile ', ' Metropolitana de Santiago ',' Santiago ',' ND '); </v>
      </c>
    </row>
    <row r="5" spans="1:7" ht="15.75" thickBot="1">
      <c r="A5" s="21" t="s">
        <v>861</v>
      </c>
      <c r="B5" s="20" t="s">
        <v>857</v>
      </c>
      <c r="C5" s="5" t="s">
        <v>401</v>
      </c>
      <c r="D5" s="5" t="s">
        <v>750</v>
      </c>
      <c r="E5" s="5" t="s">
        <v>757</v>
      </c>
      <c r="F5" s="5" t="s">
        <v>758</v>
      </c>
      <c r="G5" s="17" t="str">
        <f t="shared" si="0"/>
        <v xml:space="preserve">INSERT INTO lugar (id,Pais, Region, Comuna,Direccion) VALUES (' CV2017ch4 ',' Chile ', ' Maule ',' San Javier ',' ND '); </v>
      </c>
    </row>
    <row r="6" spans="1:7" ht="30.75" thickBot="1">
      <c r="A6" s="21" t="s">
        <v>862</v>
      </c>
      <c r="B6" s="20" t="s">
        <v>857</v>
      </c>
      <c r="C6" s="5" t="s">
        <v>759</v>
      </c>
      <c r="D6" s="5" t="s">
        <v>750</v>
      </c>
      <c r="E6" s="5" t="s">
        <v>760</v>
      </c>
      <c r="F6" s="5" t="s">
        <v>760</v>
      </c>
      <c r="G6" s="17" t="str">
        <f t="shared" si="0"/>
        <v xml:space="preserve">INSERT INTO lugar (id,Pais, Region, Comuna,Direccion) VALUES (' MG2017ch5 ',' Chile ', ' San Bernardo ',' San Bernardo ',' Av Eloísa Díaz '); </v>
      </c>
    </row>
    <row r="7" spans="1:7" ht="45.75" thickBot="1">
      <c r="A7" s="21" t="s">
        <v>863</v>
      </c>
      <c r="B7" s="20" t="s">
        <v>857</v>
      </c>
      <c r="C7" s="5" t="s">
        <v>761</v>
      </c>
      <c r="D7" s="24" t="s">
        <v>750</v>
      </c>
      <c r="E7" s="24" t="s">
        <v>754</v>
      </c>
      <c r="F7" s="24" t="s">
        <v>756</v>
      </c>
      <c r="G7" s="17" t="str">
        <f t="shared" si="0"/>
        <v xml:space="preserve">INSERT INTO lugar (id,Pais, Region, Comuna,Direccion) VALUES (' YF2017ch6 ',' Chile ', ' Metropolitana de Santiago ',' Santiago ',' la Pintana '); </v>
      </c>
    </row>
    <row r="8" spans="1:7" ht="15.75" thickBot="1">
      <c r="A8" s="21" t="s">
        <v>864</v>
      </c>
      <c r="B8" s="20" t="s">
        <v>857</v>
      </c>
      <c r="C8" s="5" t="s">
        <v>762</v>
      </c>
      <c r="D8" s="5" t="s">
        <v>750</v>
      </c>
      <c r="E8" s="5" t="s">
        <v>763</v>
      </c>
      <c r="F8" s="5" t="s">
        <v>764</v>
      </c>
      <c r="G8" s="17" t="str">
        <f t="shared" si="0"/>
        <v xml:space="preserve">INSERT INTO lugar (id,Pais, Region, Comuna,Direccion) VALUES (' AR2017ch7 ',' Chile ', ' Bio Bio ',' San Luis ',' Pemuco '); </v>
      </c>
    </row>
    <row r="9" spans="1:7" ht="45.75" thickBot="1">
      <c r="A9" s="21" t="s">
        <v>865</v>
      </c>
      <c r="B9" s="20" t="s">
        <v>857</v>
      </c>
      <c r="C9" s="5" t="s">
        <v>765</v>
      </c>
      <c r="D9" s="5" t="s">
        <v>750</v>
      </c>
      <c r="E9" s="5" t="s">
        <v>757</v>
      </c>
      <c r="F9" s="5" t="s">
        <v>766</v>
      </c>
      <c r="G9" s="17" t="str">
        <f t="shared" si="0"/>
        <v xml:space="preserve">INSERT INTO lugar (id,Pais, Region, Comuna,Direccion) VALUES (' GR2017ch8 ',' Chile ', ' Maule ',' Molina ',' Comuna de la Séptima Región '); </v>
      </c>
    </row>
    <row r="10" spans="1:7" ht="45.75" thickBot="1">
      <c r="A10" s="21" t="s">
        <v>866</v>
      </c>
      <c r="B10" s="20" t="s">
        <v>857</v>
      </c>
      <c r="C10" s="5" t="s">
        <v>767</v>
      </c>
      <c r="D10" s="5" t="s">
        <v>750</v>
      </c>
      <c r="E10" s="5" t="s">
        <v>754</v>
      </c>
      <c r="F10" s="5" t="s">
        <v>768</v>
      </c>
      <c r="G10" s="17" t="str">
        <f t="shared" si="0"/>
        <v xml:space="preserve">INSERT INTO lugar (id,Pais, Region, Comuna,Direccion) VALUES (' AL2017ch9 ',' Chile ', ' Metropolitana de Santiago ',' Pudahuel ',' Pasaje Tolten '); </v>
      </c>
    </row>
    <row r="11" spans="1:7" ht="30.75" thickBot="1">
      <c r="A11" s="21" t="s">
        <v>867</v>
      </c>
      <c r="B11" s="20" t="s">
        <v>857</v>
      </c>
      <c r="C11" s="31" t="s">
        <v>769</v>
      </c>
      <c r="D11" s="5" t="s">
        <v>750</v>
      </c>
      <c r="E11" s="5" t="s">
        <v>770</v>
      </c>
      <c r="F11" s="5" t="s">
        <v>401</v>
      </c>
      <c r="G11" s="17" t="str">
        <f t="shared" si="0"/>
        <v xml:space="preserve">INSERT INTO lugar (id,Pais, Region, Comuna,Direccion) VALUES (' RE2017ch10 ',' Chile ', ' Aysen ',' ND ',' Clotario Blest '); </v>
      </c>
    </row>
    <row r="12" spans="1:7" ht="45.75" thickBot="1">
      <c r="A12" s="21" t="s">
        <v>868</v>
      </c>
      <c r="B12" s="20" t="s">
        <v>857</v>
      </c>
      <c r="C12" s="5" t="s">
        <v>771</v>
      </c>
      <c r="D12" s="5" t="s">
        <v>750</v>
      </c>
      <c r="E12" s="5" t="s">
        <v>754</v>
      </c>
      <c r="F12" s="5" t="s">
        <v>772</v>
      </c>
      <c r="G12" s="17" t="str">
        <f t="shared" si="0"/>
        <v xml:space="preserve">INSERT INTO lugar (id,Pais, Region, Comuna,Direccion) VALUES (' NB2017ch11 ',' Chile ', ' Metropolitana de Santiago ',' Maipo ',' calle La Caridad '); </v>
      </c>
    </row>
    <row r="13" spans="1:7" ht="30.75" thickBot="1">
      <c r="A13" s="21" t="s">
        <v>869</v>
      </c>
      <c r="B13" s="20" t="s">
        <v>857</v>
      </c>
      <c r="C13" s="5" t="s">
        <v>773</v>
      </c>
      <c r="D13" s="5" t="s">
        <v>750</v>
      </c>
      <c r="E13" s="5" t="s">
        <v>774</v>
      </c>
      <c r="F13" s="5" t="s">
        <v>775</v>
      </c>
      <c r="G13" s="17" t="str">
        <f t="shared" si="0"/>
        <v xml:space="preserve">INSERT INTO lugar (id,Pais, Region, Comuna,Direccion) VALUES (' RE2017ch12 ',' Chile ', ' San Francisco ',' Limache ',' calle Condell 859 '); </v>
      </c>
    </row>
    <row r="14" spans="1:7" ht="45.75" thickBot="1">
      <c r="A14" s="21" t="s">
        <v>870</v>
      </c>
      <c r="B14" s="20" t="s">
        <v>857</v>
      </c>
      <c r="C14" s="5" t="s">
        <v>776</v>
      </c>
      <c r="D14" s="5" t="s">
        <v>750</v>
      </c>
      <c r="E14" s="5" t="s">
        <v>777</v>
      </c>
      <c r="F14" s="5" t="s">
        <v>777</v>
      </c>
      <c r="G14" s="17" t="str">
        <f t="shared" si="0"/>
        <v xml:space="preserve">INSERT INTO lugar (id,Pais, Region, Comuna,Direccion) VALUES (' LC2017ch13 ',' Chile ', ' Antofagasta ',' Antofagasta ',' calle Condell con 21 de Mayo '); </v>
      </c>
    </row>
    <row r="15" spans="1:7" ht="15.75" thickBot="1">
      <c r="A15" s="21" t="s">
        <v>871</v>
      </c>
      <c r="B15" s="20" t="s">
        <v>857</v>
      </c>
      <c r="C15" s="5" t="s">
        <v>401</v>
      </c>
      <c r="D15" s="5" t="s">
        <v>750</v>
      </c>
      <c r="E15" s="5" t="s">
        <v>778</v>
      </c>
      <c r="F15" s="5" t="s">
        <v>779</v>
      </c>
      <c r="G15" s="17" t="str">
        <f t="shared" si="0"/>
        <v xml:space="preserve">INSERT INTO lugar (id,Pais, Region, Comuna,Direccion) VALUES (' PV2017ch14 ',' Chile ', ' Los Lagos ',' Dalcahue ',' ND '); </v>
      </c>
    </row>
    <row r="16" spans="1:7" ht="15.75" thickBot="1">
      <c r="A16" s="21" t="s">
        <v>872</v>
      </c>
      <c r="B16" s="20" t="s">
        <v>857</v>
      </c>
      <c r="C16" s="5" t="s">
        <v>401</v>
      </c>
      <c r="D16" s="5" t="s">
        <v>750</v>
      </c>
      <c r="E16" s="5" t="s">
        <v>780</v>
      </c>
      <c r="F16" s="5" t="s">
        <v>781</v>
      </c>
      <c r="G16" s="17" t="str">
        <f t="shared" si="0"/>
        <v xml:space="preserve">INSERT INTO lugar (id,Pais, Region, Comuna,Direccion) VALUES (' CL2017ch15 ',' Chile ', ' O'Higgins ',' Rancagua ',' ND '); </v>
      </c>
    </row>
    <row r="17" spans="1:7" ht="15.75" thickBot="1">
      <c r="A17" s="21" t="s">
        <v>873</v>
      </c>
      <c r="B17" s="20" t="s">
        <v>857</v>
      </c>
      <c r="C17" s="5" t="s">
        <v>782</v>
      </c>
      <c r="D17" s="5" t="s">
        <v>750</v>
      </c>
      <c r="E17" s="5" t="s">
        <v>763</v>
      </c>
      <c r="F17" s="5" t="s">
        <v>783</v>
      </c>
      <c r="G17" s="17" t="str">
        <f t="shared" si="0"/>
        <v xml:space="preserve">INSERT INTO lugar (id,Pais, Region, Comuna,Direccion) VALUES (' GG2017ch16 ',' Chile ', ' Bio Bio ',' Tome ',' Dichato '); </v>
      </c>
    </row>
    <row r="18" spans="1:7" ht="30.75" thickBot="1">
      <c r="A18" s="21" t="s">
        <v>874</v>
      </c>
      <c r="B18" s="20" t="s">
        <v>857</v>
      </c>
      <c r="C18" s="5" t="s">
        <v>784</v>
      </c>
      <c r="D18" s="5" t="s">
        <v>750</v>
      </c>
      <c r="E18" s="5" t="s">
        <v>780</v>
      </c>
      <c r="F18" s="5" t="s">
        <v>781</v>
      </c>
      <c r="G18" s="17" t="str">
        <f t="shared" si="0"/>
        <v xml:space="preserve">INSERT INTO lugar (id,Pais, Region, Comuna,Direccion) VALUES (' MD2017ch17 ',' Chile ', ' O'Higgins ',' Rancagua ',' Santa Filomena '); </v>
      </c>
    </row>
    <row r="19" spans="1:7" ht="30.75" thickBot="1">
      <c r="A19" s="21" t="s">
        <v>875</v>
      </c>
      <c r="B19" s="20" t="s">
        <v>857</v>
      </c>
      <c r="C19" s="5" t="s">
        <v>785</v>
      </c>
      <c r="D19" s="5" t="s">
        <v>750</v>
      </c>
      <c r="E19" s="5" t="s">
        <v>763</v>
      </c>
      <c r="F19" s="5" t="s">
        <v>786</v>
      </c>
      <c r="G19" s="17" t="str">
        <f t="shared" si="0"/>
        <v xml:space="preserve">INSERT INTO lugar (id,Pais, Region, Comuna,Direccion) VALUES (' DM2017ch18 ',' Chile ', ' Bio Bio ',' Cañete ',' Cercanias de Cañete '); </v>
      </c>
    </row>
    <row r="20" spans="1:7" ht="30.75" thickBot="1">
      <c r="A20" s="21" t="s">
        <v>876</v>
      </c>
      <c r="B20" s="20" t="s">
        <v>857</v>
      </c>
      <c r="C20" s="5" t="s">
        <v>787</v>
      </c>
      <c r="D20" s="5" t="s">
        <v>750</v>
      </c>
      <c r="E20" s="5" t="s">
        <v>788</v>
      </c>
      <c r="F20" s="5" t="s">
        <v>788</v>
      </c>
      <c r="G20" s="17" t="str">
        <f t="shared" si="0"/>
        <v xml:space="preserve">INSERT INTO lugar (id,Pais, Region, Comuna,Direccion) VALUES (' AC2017ch19 ',' Chile ', ' Coquimbo ',' Coquimbo ',' Tierras Blancas '); </v>
      </c>
    </row>
    <row r="21" spans="1:7" ht="15.75" thickBot="1">
      <c r="A21" s="21" t="s">
        <v>877</v>
      </c>
      <c r="B21" s="20" t="s">
        <v>857</v>
      </c>
      <c r="C21" s="5" t="s">
        <v>789</v>
      </c>
      <c r="D21" s="5" t="s">
        <v>750</v>
      </c>
      <c r="E21" s="5" t="s">
        <v>780</v>
      </c>
      <c r="F21" s="5" t="s">
        <v>790</v>
      </c>
      <c r="G21" s="17" t="str">
        <f t="shared" si="0"/>
        <v xml:space="preserve">INSERT INTO lugar (id,Pais, Region, Comuna,Direccion) VALUES (' MP2017ch20 ',' Chile ', ' O'Higgins ',' Bucalemu ',' Paredones '); </v>
      </c>
    </row>
    <row r="22" spans="1:7" ht="60.75" thickBot="1">
      <c r="A22" s="21" t="s">
        <v>878</v>
      </c>
      <c r="B22" s="20" t="s">
        <v>857</v>
      </c>
      <c r="C22" s="5" t="s">
        <v>401</v>
      </c>
      <c r="D22" s="5" t="s">
        <v>750</v>
      </c>
      <c r="E22" s="5" t="s">
        <v>780</v>
      </c>
      <c r="F22" s="5" t="s">
        <v>791</v>
      </c>
      <c r="G22" s="17" t="str">
        <f t="shared" si="0"/>
        <v xml:space="preserve">INSERT INTO lugar (id,Pais, Region, Comuna,Direccion) VALUES (' KM2017ch21 ',' Chile ', ' O'Higgins ',' San Francisco de Mostazal ',' ND '); </v>
      </c>
    </row>
    <row r="23" spans="1:7" ht="30.75" thickBot="1">
      <c r="A23" s="21" t="s">
        <v>879</v>
      </c>
      <c r="B23" s="20" t="s">
        <v>857</v>
      </c>
      <c r="C23" s="5" t="s">
        <v>792</v>
      </c>
      <c r="D23" s="5" t="s">
        <v>750</v>
      </c>
      <c r="E23" s="5" t="s">
        <v>793</v>
      </c>
      <c r="F23" s="5" t="s">
        <v>794</v>
      </c>
      <c r="G23" s="17" t="str">
        <f t="shared" si="0"/>
        <v xml:space="preserve">INSERT INTO lugar (id,Pais, Region, Comuna,Direccion) VALUES (' JP2017ch22 ',' Chile ', ' La Araucania ',' Freire ',' Sector Rucahue '); </v>
      </c>
    </row>
    <row r="24" spans="1:7" ht="45.75" thickBot="1">
      <c r="A24" s="21" t="s">
        <v>880</v>
      </c>
      <c r="B24" s="20" t="s">
        <v>857</v>
      </c>
      <c r="C24" s="5" t="s">
        <v>401</v>
      </c>
      <c r="D24" s="5" t="s">
        <v>750</v>
      </c>
      <c r="E24" s="5" t="s">
        <v>754</v>
      </c>
      <c r="F24" s="5" t="s">
        <v>795</v>
      </c>
      <c r="G24" s="17" t="str">
        <f t="shared" si="0"/>
        <v xml:space="preserve">INSERT INTO lugar (id,Pais, Region, Comuna,Direccion) VALUES (' MS2017ch23 ',' Chile ', ' Metropolitana de Santiago ',' Recoleta ',' ND '); </v>
      </c>
    </row>
    <row r="25" spans="1:7" ht="30.75" thickBot="1">
      <c r="A25" s="21" t="s">
        <v>881</v>
      </c>
      <c r="B25" s="20" t="s">
        <v>857</v>
      </c>
      <c r="C25" s="5" t="s">
        <v>796</v>
      </c>
      <c r="D25" s="5" t="s">
        <v>750</v>
      </c>
      <c r="E25" s="5" t="s">
        <v>793</v>
      </c>
      <c r="F25" s="5" t="s">
        <v>797</v>
      </c>
      <c r="G25" s="17" t="str">
        <f t="shared" si="0"/>
        <v xml:space="preserve">INSERT INTO lugar (id,Pais, Region, Comuna,Direccion) VALUES (' RB2017ch24 ',' Chile ', ' La Araucania ',' Temuco ',' Padre las casas '); </v>
      </c>
    </row>
    <row r="26" spans="1:7" ht="45.75" thickBot="1">
      <c r="A26" s="21" t="s">
        <v>882</v>
      </c>
      <c r="B26" s="20" t="s">
        <v>857</v>
      </c>
      <c r="C26" s="5" t="s">
        <v>401</v>
      </c>
      <c r="D26" s="5" t="s">
        <v>750</v>
      </c>
      <c r="E26" s="5" t="s">
        <v>754</v>
      </c>
      <c r="F26" s="5" t="s">
        <v>760</v>
      </c>
      <c r="G26" s="17" t="str">
        <f t="shared" si="0"/>
        <v xml:space="preserve">INSERT INTO lugar (id,Pais, Region, Comuna,Direccion) VALUES (' PV2017ch25 ',' Chile ', ' Metropolitana de Santiago ',' San Bernardo ',' ND '); </v>
      </c>
    </row>
    <row r="27" spans="1:7" ht="45.75" thickBot="1">
      <c r="A27" s="21" t="s">
        <v>883</v>
      </c>
      <c r="B27" s="20" t="s">
        <v>857</v>
      </c>
      <c r="C27" s="5" t="s">
        <v>798</v>
      </c>
      <c r="D27" s="5" t="s">
        <v>750</v>
      </c>
      <c r="E27" s="5" t="s">
        <v>788</v>
      </c>
      <c r="F27" s="5" t="s">
        <v>799</v>
      </c>
      <c r="G27" s="17" t="str">
        <f t="shared" si="0"/>
        <v xml:space="preserve">INSERT INTO lugar (id,Pais, Region, Comuna,Direccion) VALUES (' FR2017ch26 ',' Chile ', ' Coquimbo ',' Las Compañias ',' Hermanos Grimm nro 3592 '); </v>
      </c>
    </row>
    <row r="28" spans="1:7" ht="45.75" thickBot="1">
      <c r="A28" s="21" t="s">
        <v>884</v>
      </c>
      <c r="B28" s="20" t="s">
        <v>857</v>
      </c>
      <c r="C28" s="5" t="s">
        <v>800</v>
      </c>
      <c r="D28" s="5" t="s">
        <v>750</v>
      </c>
      <c r="E28" s="5" t="s">
        <v>754</v>
      </c>
      <c r="F28" s="5" t="s">
        <v>756</v>
      </c>
      <c r="G28" s="17" t="str">
        <f t="shared" si="0"/>
        <v xml:space="preserve">INSERT INTO lugar (id,Pais, Region, Comuna,Direccion) VALUES (' YB2017ch27 ',' Chile ', ' Metropolitana de Santiago ',' Santiago ',' Centro '); </v>
      </c>
    </row>
    <row r="29" spans="1:7" ht="45.75" thickBot="1">
      <c r="A29" s="21" t="s">
        <v>885</v>
      </c>
      <c r="B29" s="20" t="s">
        <v>857</v>
      </c>
      <c r="C29" s="5" t="s">
        <v>801</v>
      </c>
      <c r="D29" s="5" t="s">
        <v>750</v>
      </c>
      <c r="E29" s="5" t="s">
        <v>757</v>
      </c>
      <c r="F29" s="5" t="s">
        <v>802</v>
      </c>
      <c r="G29" s="17" t="str">
        <f t="shared" si="0"/>
        <v xml:space="preserve">INSERT INTO lugar (id,Pais, Region, Comuna,Direccion) VALUES (' JS2017ch28 ',' Chile ', ' Maule ',' Lontue ',' Hospital y Alejandro Royal '); </v>
      </c>
    </row>
    <row r="30" spans="1:7" ht="15.75" thickBot="1">
      <c r="A30" s="21" t="s">
        <v>886</v>
      </c>
      <c r="B30" s="20" t="s">
        <v>857</v>
      </c>
      <c r="C30" s="5" t="s">
        <v>803</v>
      </c>
      <c r="D30" s="5" t="s">
        <v>750</v>
      </c>
      <c r="E30" s="5" t="s">
        <v>770</v>
      </c>
      <c r="F30" s="5" t="s">
        <v>804</v>
      </c>
      <c r="G30" s="17" t="str">
        <f t="shared" si="0"/>
        <v xml:space="preserve">INSERT INTO lugar (id,Pais, Region, Comuna,Direccion) VALUES (' GO2017ch29 ',' Chile ', ' Aysen ',' Cochrane ',' Coyhaique '); </v>
      </c>
    </row>
    <row r="31" spans="1:7" ht="45.75" thickBot="1">
      <c r="A31" s="21" t="s">
        <v>887</v>
      </c>
      <c r="B31" s="20" t="s">
        <v>857</v>
      </c>
      <c r="C31" s="5" t="s">
        <v>755</v>
      </c>
      <c r="D31" s="5" t="s">
        <v>750</v>
      </c>
      <c r="E31" s="5" t="s">
        <v>754</v>
      </c>
      <c r="F31" s="5" t="s">
        <v>755</v>
      </c>
      <c r="G31" s="17" t="str">
        <f t="shared" si="0"/>
        <v xml:space="preserve">INSERT INTO lugar (id,Pais, Region, Comuna,Direccion) VALUES (' IG2017ch30 ',' Chile ', ' Metropolitana de Santiago ',' Melipilla ',' Melipilla '); </v>
      </c>
    </row>
    <row r="32" spans="1:7" ht="15.75" thickBot="1">
      <c r="A32" s="21" t="s">
        <v>888</v>
      </c>
      <c r="B32" s="20" t="s">
        <v>857</v>
      </c>
      <c r="C32" s="5" t="s">
        <v>805</v>
      </c>
      <c r="D32" s="5" t="s">
        <v>750</v>
      </c>
      <c r="E32" s="5" t="s">
        <v>788</v>
      </c>
      <c r="F32" s="5" t="s">
        <v>805</v>
      </c>
      <c r="G32" s="17" t="str">
        <f t="shared" si="0"/>
        <v xml:space="preserve">INSERT INTO lugar (id,Pais, Region, Comuna,Direccion) VALUES (' AA2017ch31 ',' Chile ', ' Coquimbo ',' Illapel ',' Illapel '); </v>
      </c>
    </row>
    <row r="33" spans="1:7" ht="45.75" thickBot="1">
      <c r="A33" s="21" t="s">
        <v>889</v>
      </c>
      <c r="B33" s="20" t="s">
        <v>857</v>
      </c>
      <c r="C33" s="5" t="s">
        <v>806</v>
      </c>
      <c r="D33" s="5" t="s">
        <v>750</v>
      </c>
      <c r="E33" s="5" t="s">
        <v>754</v>
      </c>
      <c r="F33" s="5" t="s">
        <v>806</v>
      </c>
      <c r="G33" s="17" t="str">
        <f t="shared" si="0"/>
        <v xml:space="preserve">INSERT INTO lugar (id,Pais, Region, Comuna,Direccion) VALUES (' MH2017ch32 ',' Chile ', ' Metropolitana de Santiago ',' Ñuñoa ',' Ñuñoa '); </v>
      </c>
    </row>
    <row r="34" spans="1:7" ht="30.75" thickBot="1">
      <c r="A34" s="21" t="s">
        <v>890</v>
      </c>
      <c r="B34" s="20" t="s">
        <v>857</v>
      </c>
      <c r="C34" s="5" t="s">
        <v>807</v>
      </c>
      <c r="D34" s="5" t="s">
        <v>750</v>
      </c>
      <c r="E34" s="5" t="s">
        <v>780</v>
      </c>
      <c r="F34" s="5" t="s">
        <v>807</v>
      </c>
      <c r="G34" s="17" t="str">
        <f t="shared" si="0"/>
        <v xml:space="preserve">INSERT INTO lugar (id,Pais, Region, Comuna,Direccion) VALUES (' CA2017ch33 ',' Chile ', ' O'Higgins ',' Chimbarongo ',' Chimbarongo '); </v>
      </c>
    </row>
    <row r="35" spans="1:7" ht="15.75" thickBot="1">
      <c r="A35" s="21" t="s">
        <v>891</v>
      </c>
      <c r="B35" s="20" t="s">
        <v>857</v>
      </c>
      <c r="C35" s="5" t="s">
        <v>803</v>
      </c>
      <c r="D35" s="5" t="s">
        <v>750</v>
      </c>
      <c r="E35" s="5" t="s">
        <v>770</v>
      </c>
      <c r="F35" s="24" t="s">
        <v>803</v>
      </c>
      <c r="G35" s="17" t="str">
        <f t="shared" si="0"/>
        <v xml:space="preserve">INSERT INTO lugar (id,Pais, Region, Comuna,Direccion) VALUES (' DM2017ch34 ',' Chile ', ' Aysen ',' Coyhaique ',' Coyhaique '); </v>
      </c>
    </row>
    <row r="36" spans="1:7" ht="45.75" thickBot="1">
      <c r="A36" s="21" t="s">
        <v>892</v>
      </c>
      <c r="B36" s="20" t="s">
        <v>857</v>
      </c>
      <c r="C36" s="5" t="s">
        <v>808</v>
      </c>
      <c r="D36" s="5" t="s">
        <v>750</v>
      </c>
      <c r="E36" s="5" t="s">
        <v>754</v>
      </c>
      <c r="F36" s="5" t="s">
        <v>809</v>
      </c>
      <c r="G36" s="17" t="str">
        <f t="shared" si="0"/>
        <v xml:space="preserve">INSERT INTO lugar (id,Pais, Region, Comuna,Direccion) VALUES (' MM2017ch35 ',' Chile ', ' Metropolitana de Santiago ',' Puente Alto ',' Poblacion Brisas del Sur '); </v>
      </c>
    </row>
    <row r="37" spans="1:7" ht="30.75" thickBot="1">
      <c r="A37" s="21" t="s">
        <v>893</v>
      </c>
      <c r="B37" s="20" t="s">
        <v>857</v>
      </c>
      <c r="C37" s="5" t="s">
        <v>401</v>
      </c>
      <c r="D37" s="5" t="s">
        <v>750</v>
      </c>
      <c r="E37" s="5" t="s">
        <v>496</v>
      </c>
      <c r="F37" s="5" t="s">
        <v>810</v>
      </c>
      <c r="G37" s="17" t="str">
        <f t="shared" si="0"/>
        <v xml:space="preserve">INSERT INTO lugar (id,Pais, Region, Comuna,Direccion) VALUES (' VZ2017ch36 ',' Chile ', ' Valparaiso ',' Viña del mar ',' ND '); </v>
      </c>
    </row>
    <row r="38" spans="1:7" ht="45.75" thickBot="1">
      <c r="A38" s="21" t="s">
        <v>894</v>
      </c>
      <c r="B38" s="20" t="s">
        <v>857</v>
      </c>
      <c r="C38" s="5" t="s">
        <v>760</v>
      </c>
      <c r="D38" s="5" t="s">
        <v>750</v>
      </c>
      <c r="E38" s="5" t="s">
        <v>754</v>
      </c>
      <c r="F38" s="5" t="s">
        <v>760</v>
      </c>
      <c r="G38" s="17" t="str">
        <f t="shared" si="0"/>
        <v xml:space="preserve">INSERT INTO lugar (id,Pais, Region, Comuna,Direccion) VALUES (' CV2017ch37 ',' Chile ', ' Metropolitana de Santiago ',' San Bernardo ',' San Bernardo '); </v>
      </c>
    </row>
    <row r="39" spans="1:7" ht="45.75" thickBot="1">
      <c r="A39" s="21" t="s">
        <v>895</v>
      </c>
      <c r="B39" s="20" t="s">
        <v>857</v>
      </c>
      <c r="C39" s="5" t="s">
        <v>811</v>
      </c>
      <c r="D39" s="5" t="s">
        <v>750</v>
      </c>
      <c r="E39" s="5" t="s">
        <v>754</v>
      </c>
      <c r="F39" s="5" t="s">
        <v>756</v>
      </c>
      <c r="G39" s="17" t="str">
        <f t="shared" si="0"/>
        <v xml:space="preserve">INSERT INTO lugar (id,Pais, Region, Comuna,Direccion) VALUES (' Sd2017ch38 ',' Chile ', ' Metropolitana de Santiago ',' Santiago ',' Av Vicuña Mackeña Dep 1012 '); </v>
      </c>
    </row>
    <row r="40" spans="1:7" ht="15.75" thickBot="1">
      <c r="A40" s="21" t="s">
        <v>896</v>
      </c>
      <c r="B40" s="20" t="s">
        <v>857</v>
      </c>
      <c r="C40" s="5" t="s">
        <v>401</v>
      </c>
      <c r="D40" s="5" t="s">
        <v>750</v>
      </c>
      <c r="E40" s="5" t="s">
        <v>812</v>
      </c>
      <c r="F40" s="5" t="s">
        <v>813</v>
      </c>
      <c r="G40" s="17" t="str">
        <f t="shared" si="0"/>
        <v xml:space="preserve">INSERT INTO lugar (id,Pais, Region, Comuna,Direccion) VALUES (' KU2017ch39 ',' Chile ', ' Valdivia ',' Los Rios ',' ND '); </v>
      </c>
    </row>
    <row r="41" spans="1:7" ht="45.75" thickBot="1">
      <c r="A41" s="21" t="s">
        <v>897</v>
      </c>
      <c r="B41" s="20" t="s">
        <v>857</v>
      </c>
      <c r="C41" s="5" t="s">
        <v>814</v>
      </c>
      <c r="D41" s="5" t="s">
        <v>750</v>
      </c>
      <c r="E41" s="5" t="s">
        <v>754</v>
      </c>
      <c r="F41" s="5" t="s">
        <v>815</v>
      </c>
      <c r="G41" s="17" t="str">
        <f t="shared" si="0"/>
        <v xml:space="preserve">INSERT INTO lugar (id,Pais, Region, Comuna,Direccion) VALUES (' LR2017ch40 ',' Chile ', ' Metropolitana de Santiago ',' Lo Espejo ',' Pasaje 57 '); </v>
      </c>
    </row>
    <row r="42" spans="1:7" ht="30.75" thickBot="1">
      <c r="A42" s="21" t="s">
        <v>898</v>
      </c>
      <c r="B42" s="20" t="s">
        <v>857</v>
      </c>
      <c r="C42" s="5" t="s">
        <v>816</v>
      </c>
      <c r="D42" s="5" t="s">
        <v>750</v>
      </c>
      <c r="E42" s="5" t="s">
        <v>813</v>
      </c>
      <c r="F42" s="5" t="s">
        <v>817</v>
      </c>
      <c r="G42" s="17" t="str">
        <f t="shared" si="0"/>
        <v xml:space="preserve">INSERT INTO lugar (id,Pais, Region, Comuna,Direccion) VALUES (' YJ2017ch41 ',' Chile ', ' Los Rios ',' Panguipulli ',' Localidad de Liquiñe '); </v>
      </c>
    </row>
    <row r="43" spans="1:7" ht="45.75" thickBot="1">
      <c r="A43" s="21" t="s">
        <v>899</v>
      </c>
      <c r="B43" s="20" t="s">
        <v>857</v>
      </c>
      <c r="C43" s="5" t="s">
        <v>401</v>
      </c>
      <c r="D43" s="5" t="s">
        <v>750</v>
      </c>
      <c r="E43" s="5" t="s">
        <v>754</v>
      </c>
      <c r="F43" s="5" t="s">
        <v>795</v>
      </c>
      <c r="G43" s="17" t="str">
        <f t="shared" si="0"/>
        <v xml:space="preserve">INSERT INTO lugar (id,Pais, Region, Comuna,Direccion) VALUES (' CG2016ch1 ',' Chile ', ' Metropolitana de Santiago ',' Recoleta ',' ND '); </v>
      </c>
    </row>
    <row r="44" spans="1:7" ht="30.75" thickBot="1">
      <c r="A44" s="21" t="s">
        <v>900</v>
      </c>
      <c r="B44" s="20" t="s">
        <v>857</v>
      </c>
      <c r="C44" s="5" t="s">
        <v>818</v>
      </c>
      <c r="D44" s="5" t="s">
        <v>750</v>
      </c>
      <c r="E44" s="5" t="s">
        <v>793</v>
      </c>
      <c r="F44" s="5" t="s">
        <v>797</v>
      </c>
      <c r="G44" s="17" t="str">
        <f t="shared" si="0"/>
        <v xml:space="preserve">INSERT INTO lugar (id,Pais, Region, Comuna,Direccion) VALUES (' MC2016ch2 ',' Chile ', ' La Araucania ',' Temuco ',' Pedro de Valdivia '); </v>
      </c>
    </row>
    <row r="45" spans="1:7" ht="45.75" thickBot="1">
      <c r="A45" s="21" t="s">
        <v>901</v>
      </c>
      <c r="B45" s="20" t="s">
        <v>857</v>
      </c>
      <c r="C45" s="5" t="s">
        <v>401</v>
      </c>
      <c r="D45" s="5" t="s">
        <v>750</v>
      </c>
      <c r="E45" s="5" t="s">
        <v>754</v>
      </c>
      <c r="F45" s="5" t="s">
        <v>401</v>
      </c>
      <c r="G45" s="17" t="str">
        <f t="shared" si="0"/>
        <v xml:space="preserve">INSERT INTO lugar (id,Pais, Region, Comuna,Direccion) VALUES (' EE2016ch3 ',' Chile ', ' Metropolitana de Santiago ',' ND ',' ND '); </v>
      </c>
    </row>
    <row r="46" spans="1:7" ht="30.75" thickBot="1">
      <c r="A46" s="21" t="s">
        <v>902</v>
      </c>
      <c r="B46" s="20" t="s">
        <v>857</v>
      </c>
      <c r="C46" s="5" t="s">
        <v>819</v>
      </c>
      <c r="D46" s="5" t="s">
        <v>750</v>
      </c>
      <c r="E46" s="5" t="s">
        <v>813</v>
      </c>
      <c r="F46" s="5" t="s">
        <v>812</v>
      </c>
      <c r="G46" s="17" t="str">
        <f t="shared" si="0"/>
        <v xml:space="preserve">INSERT INTO lugar (id,Pais, Region, Comuna,Direccion) VALUES (' CB2016ch4 ',' Chile ', ' Los Rios ',' Valdivia ',' Osorno con Concepción '); </v>
      </c>
    </row>
    <row r="47" spans="1:7" ht="30.75" thickBot="1">
      <c r="A47" s="21" t="s">
        <v>903</v>
      </c>
      <c r="B47" s="20" t="s">
        <v>857</v>
      </c>
      <c r="C47" s="5" t="s">
        <v>401</v>
      </c>
      <c r="D47" s="5" t="s">
        <v>750</v>
      </c>
      <c r="E47" s="5" t="s">
        <v>777</v>
      </c>
      <c r="F47" s="5" t="s">
        <v>777</v>
      </c>
      <c r="G47" s="17" t="str">
        <f t="shared" si="0"/>
        <v xml:space="preserve">INSERT INTO lugar (id,Pais, Region, Comuna,Direccion) VALUES (' KW2016ch5 ',' Chile ', ' Antofagasta ',' Antofagasta ',' ND '); </v>
      </c>
    </row>
    <row r="48" spans="1:7" ht="60.75" thickBot="1">
      <c r="A48" s="21" t="s">
        <v>904</v>
      </c>
      <c r="B48" s="20" t="s">
        <v>857</v>
      </c>
      <c r="C48" s="5" t="s">
        <v>820</v>
      </c>
      <c r="D48" s="5" t="s">
        <v>750</v>
      </c>
      <c r="E48" s="5" t="s">
        <v>754</v>
      </c>
      <c r="F48" s="5" t="s">
        <v>821</v>
      </c>
      <c r="G48" s="17" t="str">
        <f t="shared" si="0"/>
        <v xml:space="preserve">INSERT INTO lugar (id,Pais, Region, Comuna,Direccion) VALUES (' Y 2016ch6 ',' Chile ', ' Metropolitana de Santiago ',' Providencia ',' calle Huérfanos en Santiago Centro. '); </v>
      </c>
    </row>
    <row r="49" spans="1:7" ht="45.75" thickBot="1">
      <c r="A49" s="21" t="s">
        <v>905</v>
      </c>
      <c r="B49" s="20" t="s">
        <v>857</v>
      </c>
      <c r="C49" s="5" t="s">
        <v>822</v>
      </c>
      <c r="D49" s="5" t="s">
        <v>750</v>
      </c>
      <c r="E49" s="5" t="s">
        <v>754</v>
      </c>
      <c r="F49" s="5" t="s">
        <v>823</v>
      </c>
      <c r="G49" s="17" t="str">
        <f t="shared" si="0"/>
        <v xml:space="preserve">INSERT INTO lugar (id,Pais, Region, Comuna,Direccion) VALUES (' SS2016ch7 ',' Chile ', ' Metropolitana de Santiago ',' Maipú ',' pasaje Quillagua. '); </v>
      </c>
    </row>
    <row r="50" spans="1:7" ht="60.75" thickBot="1">
      <c r="A50" s="21" t="s">
        <v>906</v>
      </c>
      <c r="B50" s="20" t="s">
        <v>857</v>
      </c>
      <c r="C50" s="5" t="s">
        <v>824</v>
      </c>
      <c r="D50" s="5" t="s">
        <v>750</v>
      </c>
      <c r="E50" s="5" t="s">
        <v>763</v>
      </c>
      <c r="F50" s="5" t="s">
        <v>825</v>
      </c>
      <c r="G50" s="17" t="str">
        <f t="shared" si="0"/>
        <v xml:space="preserve">INSERT INTO lugar (id,Pais, Region, Comuna,Direccion) VALUES (' MC2016ch8 ',' Chile ', ' Bio Bio ',' Talcahuano ',' cerro Zaror de Talcahuano. '); </v>
      </c>
    </row>
    <row r="51" spans="1:7" ht="15.75" thickBot="1">
      <c r="A51" s="21" t="s">
        <v>907</v>
      </c>
      <c r="B51" s="20" t="s">
        <v>857</v>
      </c>
      <c r="C51" s="32" t="s">
        <v>401</v>
      </c>
      <c r="D51" s="5" t="s">
        <v>750</v>
      </c>
      <c r="E51" s="5" t="s">
        <v>780</v>
      </c>
      <c r="F51" s="5" t="s">
        <v>789</v>
      </c>
      <c r="G51" s="17" t="str">
        <f t="shared" si="0"/>
        <v xml:space="preserve">INSERT INTO lugar (id,Pais, Region, Comuna,Direccion) VALUES (' AG2016ch9 ',' Chile ', ' O'Higgins ',' Paredones ',' ND '); </v>
      </c>
    </row>
    <row r="52" spans="1:7" ht="30.75" thickBot="1">
      <c r="A52" s="21" t="s">
        <v>908</v>
      </c>
      <c r="B52" s="20" t="s">
        <v>857</v>
      </c>
      <c r="C52" s="5" t="s">
        <v>401</v>
      </c>
      <c r="D52" s="5" t="s">
        <v>750</v>
      </c>
      <c r="E52" s="5" t="s">
        <v>793</v>
      </c>
      <c r="F52" s="5" t="s">
        <v>826</v>
      </c>
      <c r="G52" s="17" t="str">
        <f t="shared" si="0"/>
        <v xml:space="preserve">INSERT INTO lugar (id,Pais, Region, Comuna,Direccion) VALUES (' NL2016ch10 ',' Chile ', ' La Araucania ',' Renaico ',' ND '); </v>
      </c>
    </row>
    <row r="53" spans="1:7" ht="15.75" thickBot="1">
      <c r="A53" s="21" t="s">
        <v>909</v>
      </c>
      <c r="B53" s="20" t="s">
        <v>857</v>
      </c>
      <c r="C53" s="5" t="s">
        <v>401</v>
      </c>
      <c r="D53" s="5" t="s">
        <v>750</v>
      </c>
      <c r="E53" s="5" t="s">
        <v>496</v>
      </c>
      <c r="F53" s="5" t="s">
        <v>827</v>
      </c>
      <c r="G53" s="17" t="str">
        <f t="shared" si="0"/>
        <v xml:space="preserve">INSERT INTO lugar (id,Pais, Region, Comuna,Direccion) VALUES (' NA2016ch13 ',' Chile ', ' Valparaiso ',' Rinconada ',' ND '); </v>
      </c>
    </row>
    <row r="54" spans="1:7" ht="90.75" thickBot="1">
      <c r="A54" s="21" t="s">
        <v>910</v>
      </c>
      <c r="B54" s="20" t="s">
        <v>857</v>
      </c>
      <c r="C54" s="5" t="s">
        <v>828</v>
      </c>
      <c r="D54" s="5" t="s">
        <v>750</v>
      </c>
      <c r="E54" s="5" t="s">
        <v>763</v>
      </c>
      <c r="F54" s="5" t="s">
        <v>829</v>
      </c>
      <c r="G54" s="17" t="str">
        <f t="shared" si="0"/>
        <v xml:space="preserve">INSERT INTO lugar (id,Pais, Region, Comuna,Direccion) VALUES (' YA2016ch14 ',' Chile ', ' Bio Bio ',' Quillón ',' calle General Cruz, detrás del municipio comunal. '); </v>
      </c>
    </row>
    <row r="55" spans="1:7" ht="45.75" thickBot="1">
      <c r="A55" s="21" t="s">
        <v>911</v>
      </c>
      <c r="B55" s="20" t="s">
        <v>857</v>
      </c>
      <c r="C55" s="5" t="s">
        <v>401</v>
      </c>
      <c r="D55" s="5" t="s">
        <v>750</v>
      </c>
      <c r="E55" s="5" t="s">
        <v>754</v>
      </c>
      <c r="F55" s="5" t="s">
        <v>830</v>
      </c>
      <c r="G55" s="17" t="str">
        <f t="shared" si="0"/>
        <v xml:space="preserve">INSERT INTO lugar (id,Pais, Region, Comuna,Direccion) VALUES (' AO2016ch18 ',' Chile ', ' Metropolitana de Santiago ',' La granja ',' ND '); </v>
      </c>
    </row>
    <row r="56" spans="1:7" ht="45.75" thickBot="1">
      <c r="A56" s="21" t="s">
        <v>912</v>
      </c>
      <c r="B56" s="20" t="s">
        <v>857</v>
      </c>
      <c r="C56" s="5" t="s">
        <v>401</v>
      </c>
      <c r="D56" s="5" t="s">
        <v>750</v>
      </c>
      <c r="E56" s="33" t="s">
        <v>754</v>
      </c>
      <c r="F56" s="5" t="s">
        <v>768</v>
      </c>
      <c r="G56" s="17" t="str">
        <f t="shared" si="0"/>
        <v xml:space="preserve">INSERT INTO lugar (id,Pais, Region, Comuna,Direccion) VALUES (' BL2016ch19 ',' Chile ', ' Metropolitana de Santiago ',' Pudahuel ',' ND '); </v>
      </c>
    </row>
    <row r="57" spans="1:7" ht="45.75" thickBot="1">
      <c r="A57" s="21" t="s">
        <v>913</v>
      </c>
      <c r="B57" s="20" t="s">
        <v>857</v>
      </c>
      <c r="C57" s="5" t="s">
        <v>831</v>
      </c>
      <c r="D57" s="5" t="s">
        <v>750</v>
      </c>
      <c r="E57" s="5" t="s">
        <v>754</v>
      </c>
      <c r="F57" s="5" t="s">
        <v>832</v>
      </c>
      <c r="G57" s="17" t="str">
        <f t="shared" si="0"/>
        <v xml:space="preserve">INSERT INTO lugar (id,Pais, Region, Comuna,Direccion) VALUES (' V 2016ch21 ',' Chile ', ' Metropolitana de Santiago ',' Paine ',' Cuesta chada '); </v>
      </c>
    </row>
    <row r="58" spans="1:7" ht="105.75" thickBot="1">
      <c r="A58" s="21" t="s">
        <v>914</v>
      </c>
      <c r="B58" s="20" t="s">
        <v>857</v>
      </c>
      <c r="C58" s="5" t="s">
        <v>833</v>
      </c>
      <c r="D58" s="5" t="s">
        <v>750</v>
      </c>
      <c r="E58" s="5" t="s">
        <v>754</v>
      </c>
      <c r="F58" s="5" t="s">
        <v>756</v>
      </c>
      <c r="G58" s="17" t="str">
        <f t="shared" si="0"/>
        <v xml:space="preserve">INSERT INTO lugar (id,Pais, Region, Comuna,Direccion) VALUES (' VG2016ch22 ',' Chile ', ' Metropolitana de Santiago ',' Santiago ',' calle Banco Encalada, entre Abate Molina y avenida España '); </v>
      </c>
    </row>
    <row r="59" spans="1:7" ht="60.75" thickBot="1">
      <c r="A59" s="21" t="s">
        <v>915</v>
      </c>
      <c r="B59" s="20" t="s">
        <v>857</v>
      </c>
      <c r="C59" s="5" t="s">
        <v>401</v>
      </c>
      <c r="D59" s="5" t="s">
        <v>750</v>
      </c>
      <c r="E59" s="5" t="s">
        <v>834</v>
      </c>
      <c r="F59" s="5" t="s">
        <v>835</v>
      </c>
      <c r="G59" s="17" t="str">
        <f t="shared" si="0"/>
        <v xml:space="preserve">INSERT INTO lugar (id,Pais, Region, Comuna,Direccion) VALUES (' MG2016ch23 ',' Chile ', ' Magallanes y de la Antártica Chilena ',' Punta arenas ',' ND '); </v>
      </c>
    </row>
    <row r="60" spans="1:7" ht="15.75" thickBot="1">
      <c r="A60" s="21" t="s">
        <v>916</v>
      </c>
      <c r="B60" s="20" t="s">
        <v>857</v>
      </c>
      <c r="C60" s="5" t="s">
        <v>401</v>
      </c>
      <c r="D60" s="5" t="s">
        <v>750</v>
      </c>
      <c r="E60" s="5" t="s">
        <v>496</v>
      </c>
      <c r="F60" s="5" t="s">
        <v>401</v>
      </c>
      <c r="G60" s="17" t="str">
        <f t="shared" si="0"/>
        <v xml:space="preserve">INSERT INTO lugar (id,Pais, Region, Comuna,Direccion) VALUES (' NS2016ch24 ',' Chile ', ' Valparaiso ',' ND ',' ND '); </v>
      </c>
    </row>
    <row r="61" spans="1:7" ht="30.75" thickBot="1">
      <c r="A61" s="21" t="s">
        <v>917</v>
      </c>
      <c r="B61" s="20" t="s">
        <v>857</v>
      </c>
      <c r="C61" s="5" t="s">
        <v>401</v>
      </c>
      <c r="D61" s="5" t="s">
        <v>750</v>
      </c>
      <c r="E61" s="5" t="s">
        <v>777</v>
      </c>
      <c r="F61" s="5" t="s">
        <v>836</v>
      </c>
      <c r="G61" s="17" t="str">
        <f t="shared" si="0"/>
        <v xml:space="preserve">INSERT INTO lugar (id,Pais, Region, Comuna,Direccion) VALUES (' BT2016ch25 ',' Chile ', ' Antofagasta ',' Calama ',' ND '); </v>
      </c>
    </row>
    <row r="62" spans="1:7" ht="15.75" thickBot="1">
      <c r="A62" s="21" t="s">
        <v>918</v>
      </c>
      <c r="B62" s="20" t="s">
        <v>857</v>
      </c>
      <c r="C62" s="5" t="s">
        <v>401</v>
      </c>
      <c r="D62" s="5" t="s">
        <v>750</v>
      </c>
      <c r="E62" s="5" t="s">
        <v>763</v>
      </c>
      <c r="F62" s="5" t="s">
        <v>837</v>
      </c>
      <c r="G62" s="17" t="str">
        <f t="shared" si="0"/>
        <v xml:space="preserve">INSERT INTO lugar (id,Pais, Region, Comuna,Direccion) VALUES (' GF2016ch26 ',' Chile ', ' Bio Bio ',' Concepción ',' ND '); </v>
      </c>
    </row>
    <row r="63" spans="1:7" ht="45.75" thickBot="1">
      <c r="A63" s="21" t="s">
        <v>919</v>
      </c>
      <c r="B63" s="20" t="s">
        <v>857</v>
      </c>
      <c r="C63" s="5" t="s">
        <v>401</v>
      </c>
      <c r="D63" s="5" t="s">
        <v>750</v>
      </c>
      <c r="E63" s="5" t="s">
        <v>754</v>
      </c>
      <c r="F63" s="5" t="s">
        <v>838</v>
      </c>
      <c r="G63" s="17" t="str">
        <f t="shared" si="0"/>
        <v xml:space="preserve">INSERT INTO lugar (id,Pais, Region, Comuna,Direccion) VALUES (' NP2016ch27 ',' Chile ', ' Metropolitana de Santiago ',' Padre Hurtado ',' ND '); </v>
      </c>
    </row>
    <row r="64" spans="1:7" ht="60.75" thickBot="1">
      <c r="A64" s="21" t="s">
        <v>920</v>
      </c>
      <c r="B64" s="20" t="s">
        <v>857</v>
      </c>
      <c r="C64" s="5" t="s">
        <v>839</v>
      </c>
      <c r="D64" s="5" t="s">
        <v>750</v>
      </c>
      <c r="E64" s="5" t="s">
        <v>757</v>
      </c>
      <c r="F64" s="5" t="s">
        <v>840</v>
      </c>
      <c r="G64" s="17" t="str">
        <f t="shared" si="0"/>
        <v xml:space="preserve">INSERT INTO lugar (id,Pais, Region, Comuna,Direccion) VALUES (' YC2016ch28 ',' Chile ', ' Maule ',' Talca ',' 260 kilómetros al sur de Santiago '); </v>
      </c>
    </row>
    <row r="65" spans="1:7" ht="45.75" thickBot="1">
      <c r="A65" s="21" t="s">
        <v>921</v>
      </c>
      <c r="B65" s="20" t="s">
        <v>857</v>
      </c>
      <c r="C65" s="11"/>
      <c r="D65" s="5" t="s">
        <v>750</v>
      </c>
      <c r="E65" s="5" t="s">
        <v>754</v>
      </c>
      <c r="F65" s="5" t="s">
        <v>841</v>
      </c>
      <c r="G65" s="17" t="str">
        <f t="shared" si="0"/>
        <v xml:space="preserve">INSERT INTO lugar (id,Pais, Region, Comuna,Direccion) VALUES (' BB2016ch29 ',' Chile ', ' Metropolitana de Santiago ',' Renca ','  '); </v>
      </c>
    </row>
    <row r="66" spans="1:7" ht="15.75" thickBot="1">
      <c r="A66" s="21" t="s">
        <v>922</v>
      </c>
      <c r="B66" s="20" t="s">
        <v>857</v>
      </c>
      <c r="C66" s="5" t="s">
        <v>401</v>
      </c>
      <c r="D66" s="5" t="s">
        <v>750</v>
      </c>
      <c r="E66" s="5" t="s">
        <v>763</v>
      </c>
      <c r="F66" s="5" t="s">
        <v>842</v>
      </c>
      <c r="G66" s="17" t="str">
        <f t="shared" si="0"/>
        <v xml:space="preserve">INSERT INTO lugar (id,Pais, Region, Comuna,Direccion) VALUES (' MF2016ch30 ',' Chile ', ' Bio Bio ',' Hualqui ',' ND '); </v>
      </c>
    </row>
    <row r="67" spans="1:7" ht="45.75" thickBot="1">
      <c r="A67" s="21" t="s">
        <v>923</v>
      </c>
      <c r="B67" s="20" t="s">
        <v>857</v>
      </c>
      <c r="C67" s="5" t="s">
        <v>401</v>
      </c>
      <c r="D67" s="5" t="s">
        <v>750</v>
      </c>
      <c r="E67" s="5" t="s">
        <v>754</v>
      </c>
      <c r="F67" s="5" t="s">
        <v>843</v>
      </c>
      <c r="G67" s="17" t="str">
        <f t="shared" ref="G67:G80" si="1">"INSERT INTO lugar (id,Pais, Region, Comuna,Direccion) VALUES (' "&amp;A67&amp;" ',' "&amp;D67&amp;" ', ' "&amp;E67&amp;" ',' "&amp;F67&amp;" ',' "&amp;C67&amp;" '); "</f>
        <v xml:space="preserve">INSERT INTO lugar (id,Pais, Region, Comuna,Direccion) VALUES (' M 2016ch31 ',' Chile ', ' Metropolitana de Santiago ',' Cerro Navia ',' ND '); </v>
      </c>
    </row>
    <row r="68" spans="1:7" ht="30.75" thickBot="1">
      <c r="A68" s="21" t="s">
        <v>924</v>
      </c>
      <c r="B68" s="20" t="s">
        <v>857</v>
      </c>
      <c r="C68" s="5" t="s">
        <v>401</v>
      </c>
      <c r="D68" s="5" t="s">
        <v>750</v>
      </c>
      <c r="E68" s="5" t="s">
        <v>496</v>
      </c>
      <c r="F68" s="5" t="s">
        <v>844</v>
      </c>
      <c r="G68" s="17" t="str">
        <f t="shared" si="1"/>
        <v xml:space="preserve">INSERT INTO lugar (id,Pais, Region, Comuna,Direccion) VALUES (' LJ2016ch32 ',' Chile ', ' Valparaiso ',' Villa Alemana ',' ND '); </v>
      </c>
    </row>
    <row r="69" spans="1:7" ht="45.75" thickBot="1">
      <c r="A69" s="21" t="s">
        <v>925</v>
      </c>
      <c r="B69" s="20" t="s">
        <v>857</v>
      </c>
      <c r="C69" s="5" t="s">
        <v>401</v>
      </c>
      <c r="D69" s="5" t="s">
        <v>750</v>
      </c>
      <c r="E69" s="5" t="s">
        <v>754</v>
      </c>
      <c r="F69" s="5" t="s">
        <v>845</v>
      </c>
      <c r="G69" s="17" t="str">
        <f t="shared" si="1"/>
        <v xml:space="preserve">INSERT INTO lugar (id,Pais, Region, Comuna,Direccion) VALUES (' DA2016ch33 ',' Chile ', ' Metropolitana de Santiago ',' La Cisterna ',' ND '); </v>
      </c>
    </row>
    <row r="70" spans="1:7" ht="60.75" thickBot="1">
      <c r="A70" s="21" t="s">
        <v>926</v>
      </c>
      <c r="B70" s="20" t="s">
        <v>857</v>
      </c>
      <c r="C70" s="5" t="s">
        <v>846</v>
      </c>
      <c r="D70" s="5" t="s">
        <v>750</v>
      </c>
      <c r="E70" s="5" t="s">
        <v>754</v>
      </c>
      <c r="F70" s="5" t="s">
        <v>847</v>
      </c>
      <c r="G70" s="17" t="str">
        <f t="shared" si="1"/>
        <v xml:space="preserve">INSERT INTO lugar (id,Pais, Region, Comuna,Direccion) VALUES (' CM2016ch34 ',' Chile ', ' Metropolitana de Santiago ',' Colina ',' calle Presidente Salvador Allende '); </v>
      </c>
    </row>
    <row r="71" spans="1:7" ht="15.75" thickBot="1">
      <c r="A71" s="21" t="s">
        <v>927</v>
      </c>
      <c r="B71" s="20" t="s">
        <v>857</v>
      </c>
      <c r="C71" s="5" t="s">
        <v>401</v>
      </c>
      <c r="D71" s="5" t="s">
        <v>750</v>
      </c>
      <c r="E71" s="5" t="s">
        <v>778</v>
      </c>
      <c r="F71" s="5" t="s">
        <v>401</v>
      </c>
      <c r="G71" s="17" t="str">
        <f t="shared" si="1"/>
        <v xml:space="preserve">INSERT INTO lugar (id,Pais, Region, Comuna,Direccion) VALUES (' VM2016ch35 ',' Chile ', ' Los Lagos ',' ND ',' ND '); </v>
      </c>
    </row>
    <row r="72" spans="1:7" ht="30.75" thickBot="1">
      <c r="A72" s="21" t="s">
        <v>928</v>
      </c>
      <c r="B72" s="20" t="s">
        <v>857</v>
      </c>
      <c r="C72" s="5" t="s">
        <v>401</v>
      </c>
      <c r="D72" s="5" t="s">
        <v>750</v>
      </c>
      <c r="E72" s="5" t="s">
        <v>778</v>
      </c>
      <c r="F72" s="5" t="s">
        <v>848</v>
      </c>
      <c r="G72" s="17" t="str">
        <f t="shared" si="1"/>
        <v xml:space="preserve">INSERT INTO lugar (id,Pais, Region, Comuna,Direccion) VALUES (' BM2016ch36 ',' Chile ', ' Los Lagos ',' Puerto Montt ',' ND '); </v>
      </c>
    </row>
    <row r="73" spans="1:7" ht="90.75" thickBot="1">
      <c r="A73" s="21" t="s">
        <v>929</v>
      </c>
      <c r="B73" s="20" t="s">
        <v>857</v>
      </c>
      <c r="C73" s="5" t="s">
        <v>849</v>
      </c>
      <c r="D73" s="5" t="s">
        <v>750</v>
      </c>
      <c r="E73" s="5" t="s">
        <v>778</v>
      </c>
      <c r="F73" s="5" t="s">
        <v>850</v>
      </c>
      <c r="G73" s="17" t="str">
        <f t="shared" si="1"/>
        <v xml:space="preserve">INSERT INTO lugar (id,Pais, Region, Comuna,Direccion) VALUES (' CC2016ch37 ',' Chile ', ' Los Lagos ',' Laja ',' Predio forestal al interior del sector Puente Perales '); </v>
      </c>
    </row>
    <row r="74" spans="1:7" ht="75.75" thickBot="1">
      <c r="A74" s="21" t="s">
        <v>930</v>
      </c>
      <c r="B74" s="20" t="s">
        <v>857</v>
      </c>
      <c r="C74" s="5" t="s">
        <v>851</v>
      </c>
      <c r="D74" s="5" t="s">
        <v>750</v>
      </c>
      <c r="E74" s="5" t="s">
        <v>754</v>
      </c>
      <c r="F74" s="5" t="s">
        <v>756</v>
      </c>
      <c r="G74" s="17" t="str">
        <f t="shared" si="1"/>
        <v xml:space="preserve">INSERT INTO lugar (id,Pais, Region, Comuna,Direccion) VALUES (' PQ2016ch38 ',' Chile ', ' Metropolitana de Santiago ',' Santiago ',' Galería Alessandri, en el centro de Santiago. '); </v>
      </c>
    </row>
    <row r="75" spans="1:7" ht="45.75" thickBot="1">
      <c r="A75" s="21" t="s">
        <v>931</v>
      </c>
      <c r="B75" s="20" t="s">
        <v>857</v>
      </c>
      <c r="C75" s="5" t="s">
        <v>401</v>
      </c>
      <c r="D75" s="5" t="s">
        <v>750</v>
      </c>
      <c r="E75" s="5" t="s">
        <v>754</v>
      </c>
      <c r="F75" s="5" t="s">
        <v>852</v>
      </c>
      <c r="G75" s="17" t="str">
        <f t="shared" si="1"/>
        <v xml:space="preserve">INSERT INTO lugar (id,Pais, Region, Comuna,Direccion) VALUES (' CN2016ch39 ',' Chile ', ' Metropolitana de Santiago ',' El monte ',' ND '); </v>
      </c>
    </row>
    <row r="76" spans="1:7" ht="15.75" thickBot="1">
      <c r="A76" s="21" t="s">
        <v>932</v>
      </c>
      <c r="B76" s="20" t="s">
        <v>857</v>
      </c>
      <c r="C76" s="5" t="s">
        <v>401</v>
      </c>
      <c r="D76" s="5" t="s">
        <v>750</v>
      </c>
      <c r="E76" s="5" t="s">
        <v>496</v>
      </c>
      <c r="F76" s="5" t="s">
        <v>853</v>
      </c>
      <c r="G76" s="17" t="str">
        <f t="shared" si="1"/>
        <v xml:space="preserve">INSERT INTO lugar (id,Pais, Region, Comuna,Direccion) VALUES (' JS2016ch40 ',' Chile ', ' Valparaiso ',' Quilotoa ',' ND '); </v>
      </c>
    </row>
    <row r="77" spans="1:7" ht="30.75" thickBot="1">
      <c r="A77" s="21" t="s">
        <v>933</v>
      </c>
      <c r="B77" s="20" t="s">
        <v>857</v>
      </c>
      <c r="C77" s="5" t="s">
        <v>401</v>
      </c>
      <c r="D77" s="5" t="s">
        <v>750</v>
      </c>
      <c r="E77" s="5" t="s">
        <v>793</v>
      </c>
      <c r="F77" s="5" t="s">
        <v>854</v>
      </c>
      <c r="G77" s="17" t="str">
        <f t="shared" si="1"/>
        <v xml:space="preserve">INSERT INTO lugar (id,Pais, Region, Comuna,Direccion) VALUES (' NP2016ch41 ',' Chile ', ' La Araucania ',' Lautaro ',' ND '); </v>
      </c>
    </row>
    <row r="78" spans="1:7" ht="15.75" thickBot="1">
      <c r="A78" s="21" t="s">
        <v>934</v>
      </c>
      <c r="B78" s="20" t="s">
        <v>857</v>
      </c>
      <c r="C78" s="5" t="s">
        <v>401</v>
      </c>
      <c r="D78" s="5" t="s">
        <v>750</v>
      </c>
      <c r="E78" s="5" t="s">
        <v>763</v>
      </c>
      <c r="F78" s="5" t="s">
        <v>855</v>
      </c>
      <c r="G78" s="17" t="str">
        <f t="shared" si="1"/>
        <v xml:space="preserve">INSERT INTO lugar (id,Pais, Region, Comuna,Direccion) VALUES (' EU2016ch42 ',' Chile ', ' Bio Bio ',' Coronel ',' ND '); </v>
      </c>
    </row>
    <row r="79" spans="1:7" ht="30.75" thickBot="1">
      <c r="A79" s="21" t="s">
        <v>935</v>
      </c>
      <c r="B79" s="20" t="s">
        <v>857</v>
      </c>
      <c r="C79" s="5" t="s">
        <v>401</v>
      </c>
      <c r="D79" s="5" t="s">
        <v>750</v>
      </c>
      <c r="E79" s="5" t="s">
        <v>777</v>
      </c>
      <c r="F79" s="5" t="s">
        <v>836</v>
      </c>
      <c r="G79" s="17" t="str">
        <f t="shared" si="1"/>
        <v xml:space="preserve">INSERT INTO lugar (id,Pais, Region, Comuna,Direccion) VALUES (' MB2016ch43 ',' Chile ', ' Antofagasta ',' Calama ',' ND '); </v>
      </c>
    </row>
    <row r="80" spans="1:7" ht="45.75" thickBot="1">
      <c r="A80" s="21" t="s">
        <v>936</v>
      </c>
      <c r="B80" s="20" t="s">
        <v>857</v>
      </c>
      <c r="C80" s="5" t="s">
        <v>856</v>
      </c>
      <c r="D80" s="5" t="s">
        <v>750</v>
      </c>
      <c r="E80" s="5" t="s">
        <v>754</v>
      </c>
      <c r="F80" s="5" t="s">
        <v>806</v>
      </c>
      <c r="G80" s="17" t="str">
        <f t="shared" si="1"/>
        <v xml:space="preserve">INSERT INTO lugar (id,Pais, Region, Comuna,Direccion) VALUES (' MC2016ch44 ',' Chile ', ' Metropolitana de Santiago ',' Ñuñoa ',' calle Villoslava '); </v>
      </c>
    </row>
    <row r="81" spans="1:6" ht="15.75" thickBot="1">
      <c r="A81" s="6"/>
      <c r="B81" s="6"/>
      <c r="C81" s="6"/>
      <c r="D81" s="6"/>
      <c r="E81" s="6"/>
      <c r="F81" s="6"/>
    </row>
    <row r="82" spans="1:6" ht="15.75" thickBot="1">
      <c r="A82" s="6"/>
      <c r="B82" s="6"/>
      <c r="C82" s="6"/>
      <c r="D82" s="6"/>
      <c r="E82" s="6"/>
      <c r="F82" s="6"/>
    </row>
    <row r="83" spans="1:6" ht="15.75" thickBot="1">
      <c r="A83" s="6"/>
      <c r="B83" s="6"/>
      <c r="C83" s="6"/>
      <c r="D83" s="6"/>
      <c r="E83" s="6"/>
      <c r="F83" s="6"/>
    </row>
    <row r="84" spans="1:6" ht="15.75" thickBot="1">
      <c r="A84" s="6"/>
      <c r="B84" s="6"/>
      <c r="C84" s="6"/>
      <c r="D84" s="6"/>
      <c r="E84" s="6"/>
      <c r="F84" s="6"/>
    </row>
    <row r="85" spans="1:6" ht="15.75" thickBot="1">
      <c r="A85" s="6"/>
      <c r="B85" s="6"/>
      <c r="C85" s="6"/>
      <c r="D85" s="6"/>
      <c r="E85" s="6"/>
      <c r="F85" s="6"/>
    </row>
    <row r="86" spans="1:6" ht="15.75" thickBot="1">
      <c r="A86" s="6"/>
      <c r="B86" s="6"/>
      <c r="C86" s="6"/>
      <c r="D86" s="6"/>
      <c r="E86" s="6"/>
      <c r="F86" s="6"/>
    </row>
    <row r="87" spans="1:6" ht="15.75" thickBot="1">
      <c r="A87" s="6"/>
      <c r="B87" s="6"/>
      <c r="C87" s="6"/>
      <c r="D87" s="6"/>
      <c r="E87" s="6"/>
      <c r="F87" s="6"/>
    </row>
    <row r="88" spans="1:6" ht="15.75" thickBot="1">
      <c r="A88" s="6"/>
      <c r="B88" s="6"/>
      <c r="C88" s="6"/>
      <c r="D88" s="6"/>
      <c r="E88" s="6"/>
      <c r="F88" s="6"/>
    </row>
    <row r="89" spans="1:6" ht="15.75" thickBot="1">
      <c r="A89" s="6"/>
      <c r="B89" s="6"/>
      <c r="C89" s="6"/>
      <c r="D89" s="6"/>
      <c r="E89" s="6"/>
      <c r="F89" s="6"/>
    </row>
    <row r="90" spans="1:6" ht="15.75" thickBot="1">
      <c r="A90" s="6"/>
      <c r="B90" s="6"/>
      <c r="C90" s="6"/>
      <c r="D90" s="6"/>
      <c r="E90" s="6"/>
      <c r="F90" s="6"/>
    </row>
    <row r="91" spans="1:6" ht="15.75" thickBot="1">
      <c r="A91" s="6"/>
      <c r="B91" s="6"/>
      <c r="C91" s="6"/>
      <c r="D91" s="6"/>
      <c r="E91" s="6"/>
      <c r="F91" s="6"/>
    </row>
    <row r="92" spans="1:6" ht="15.75" thickBot="1">
      <c r="A92" s="6"/>
      <c r="B92" s="6"/>
      <c r="C92" s="6"/>
      <c r="D92" s="6"/>
      <c r="E92" s="6"/>
      <c r="F92" s="6"/>
    </row>
    <row r="93" spans="1:6" ht="15.75" thickBot="1">
      <c r="A93" s="6"/>
      <c r="B93" s="6"/>
      <c r="C93" s="6"/>
      <c r="D93" s="6"/>
      <c r="E93" s="6"/>
      <c r="F93" s="6"/>
    </row>
    <row r="94" spans="1:6" ht="15.75" thickBot="1">
      <c r="A94" s="6"/>
      <c r="B94" s="6"/>
      <c r="C94" s="6"/>
      <c r="D94" s="6"/>
      <c r="E94" s="6"/>
      <c r="F94" s="6"/>
    </row>
    <row r="95" spans="1:6" ht="15.75" thickBot="1">
      <c r="A95" s="6"/>
      <c r="B95" s="6"/>
      <c r="C95" s="6"/>
      <c r="D95" s="6"/>
      <c r="E95" s="6"/>
      <c r="F95" s="6"/>
    </row>
    <row r="96" spans="1:6" ht="15.75" thickBot="1">
      <c r="A96" s="6"/>
      <c r="B96" s="6"/>
      <c r="C96" s="6"/>
      <c r="D96" s="6"/>
      <c r="E96" s="6"/>
      <c r="F96" s="6"/>
    </row>
    <row r="97" spans="1:6" ht="15.75" thickBot="1">
      <c r="A97" s="6"/>
      <c r="B97" s="6"/>
      <c r="C97" s="6"/>
      <c r="D97" s="6"/>
      <c r="E97" s="6"/>
      <c r="F97" s="6"/>
    </row>
    <row r="98" spans="1:6" ht="15.75" thickBot="1">
      <c r="A98" s="6"/>
      <c r="B98" s="6"/>
      <c r="C98" s="6"/>
      <c r="D98" s="6"/>
      <c r="E98" s="6"/>
      <c r="F98" s="6"/>
    </row>
    <row r="99" spans="1:6" ht="15.75" thickBot="1">
      <c r="A99" s="6"/>
      <c r="B99" s="6"/>
      <c r="C99" s="6"/>
      <c r="D99" s="6"/>
      <c r="E99" s="6"/>
      <c r="F99" s="6"/>
    </row>
    <row r="100" spans="1:6" ht="15.75" thickBot="1">
      <c r="A100" s="6"/>
      <c r="B100" s="6"/>
      <c r="C100" s="6"/>
      <c r="D100" s="6"/>
      <c r="E100" s="6"/>
      <c r="F100" s="6"/>
    </row>
    <row r="101" spans="1:6" ht="15.75" thickBot="1">
      <c r="A101" s="6"/>
      <c r="B101" s="6"/>
      <c r="C101" s="6"/>
      <c r="D101" s="6"/>
      <c r="E101" s="6"/>
      <c r="F101" s="6"/>
    </row>
    <row r="102" spans="1:6" ht="15.75" thickBot="1">
      <c r="A102" s="6"/>
      <c r="B102" s="6"/>
      <c r="C102" s="6"/>
      <c r="D102" s="6"/>
      <c r="E102" s="6"/>
      <c r="F102" s="6"/>
    </row>
    <row r="103" spans="1:6" ht="15.75" thickBot="1">
      <c r="A103" s="6"/>
      <c r="B103" s="6"/>
      <c r="C103" s="6"/>
      <c r="D103" s="6"/>
      <c r="E103" s="6"/>
      <c r="F103" s="6"/>
    </row>
    <row r="104" spans="1:6" ht="15.75" thickBot="1">
      <c r="A104" s="6"/>
      <c r="B104" s="6"/>
      <c r="C104" s="6"/>
      <c r="D104" s="6"/>
      <c r="E104" s="6"/>
      <c r="F104" s="6"/>
    </row>
    <row r="105" spans="1:6" ht="15.75" thickBot="1">
      <c r="A105" s="6"/>
      <c r="B105" s="6"/>
      <c r="C105" s="6"/>
      <c r="D105" s="6"/>
      <c r="E105" s="6"/>
      <c r="F105" s="6"/>
    </row>
    <row r="106" spans="1:6" ht="15.75" thickBot="1">
      <c r="A106" s="6"/>
      <c r="B106" s="6"/>
      <c r="C106" s="6"/>
      <c r="D106" s="6"/>
      <c r="E106" s="6"/>
      <c r="F106" s="6"/>
    </row>
    <row r="107" spans="1:6" ht="15.75" thickBot="1">
      <c r="A107" s="6"/>
      <c r="B107" s="6"/>
      <c r="C107" s="6"/>
      <c r="D107" s="6"/>
      <c r="E107" s="6"/>
      <c r="F107" s="6"/>
    </row>
    <row r="108" spans="1:6" ht="15.75" thickBot="1">
      <c r="A108" s="6"/>
      <c r="B108" s="6"/>
      <c r="C108" s="6"/>
      <c r="D108" s="6"/>
      <c r="E108" s="6"/>
      <c r="F108" s="6"/>
    </row>
    <row r="109" spans="1:6" ht="15.75" thickBot="1">
      <c r="A109" s="6"/>
      <c r="B109" s="6"/>
      <c r="C109" s="6"/>
      <c r="D109" s="6"/>
      <c r="E109" s="6"/>
      <c r="F109" s="6"/>
    </row>
    <row r="110" spans="1:6" ht="15.75" thickBot="1">
      <c r="A110" s="6"/>
      <c r="B110" s="6"/>
      <c r="C110" s="6"/>
      <c r="D110" s="6"/>
      <c r="E110" s="6"/>
      <c r="F110" s="6"/>
    </row>
    <row r="111" spans="1:6" ht="15.75" thickBot="1">
      <c r="A111" s="6"/>
      <c r="B111" s="6"/>
      <c r="C111" s="6"/>
      <c r="D111" s="6"/>
      <c r="E111" s="6"/>
      <c r="F111" s="6"/>
    </row>
    <row r="112" spans="1:6" ht="15.75" thickBot="1">
      <c r="A112" s="6"/>
      <c r="B112" s="6"/>
      <c r="C112" s="6"/>
      <c r="D112" s="6"/>
      <c r="E112" s="6"/>
      <c r="F112" s="6"/>
    </row>
    <row r="113" spans="1:6" ht="15.75" thickBot="1">
      <c r="A113" s="6"/>
      <c r="B113" s="6"/>
      <c r="C113" s="6"/>
      <c r="D113" s="6"/>
      <c r="E113" s="6"/>
      <c r="F113" s="6"/>
    </row>
    <row r="114" spans="1:6" ht="15.75" thickBot="1">
      <c r="A114" s="6"/>
      <c r="B114" s="6"/>
      <c r="C114" s="6"/>
      <c r="D114" s="6"/>
      <c r="E114" s="6"/>
      <c r="F114" s="6"/>
    </row>
    <row r="115" spans="1:6" ht="15.75" thickBot="1">
      <c r="A115" s="6"/>
      <c r="B115" s="6"/>
      <c r="C115" s="6"/>
      <c r="D115" s="6"/>
      <c r="E115" s="6"/>
      <c r="F115" s="6"/>
    </row>
    <row r="116" spans="1:6" ht="15.75" thickBot="1">
      <c r="A116" s="6"/>
      <c r="B116" s="6"/>
      <c r="C116" s="6"/>
      <c r="D116" s="6"/>
      <c r="E116" s="6"/>
      <c r="F116" s="6"/>
    </row>
    <row r="117" spans="1:6" ht="15.75" thickBot="1">
      <c r="A117" s="6"/>
      <c r="B117" s="6"/>
      <c r="C117" s="6"/>
      <c r="D117" s="6"/>
      <c r="E117" s="6"/>
      <c r="F117" s="6"/>
    </row>
    <row r="118" spans="1:6" ht="15.75" thickBot="1">
      <c r="A118" s="6"/>
      <c r="B118" s="6"/>
      <c r="C118" s="6"/>
      <c r="D118" s="6"/>
      <c r="E118" s="6"/>
      <c r="F118" s="6"/>
    </row>
    <row r="119" spans="1:6" ht="15.75" thickBot="1">
      <c r="A119" s="6"/>
      <c r="B119" s="6"/>
      <c r="C119" s="6"/>
      <c r="D119" s="6"/>
      <c r="E119" s="6"/>
      <c r="F119" s="6"/>
    </row>
    <row r="120" spans="1:6" ht="15.75" thickBot="1">
      <c r="A120" s="6"/>
      <c r="B120" s="6"/>
      <c r="C120" s="6"/>
      <c r="D120" s="6"/>
      <c r="E120" s="6"/>
      <c r="F120" s="6"/>
    </row>
    <row r="121" spans="1:6" ht="15.75" thickBot="1">
      <c r="A121" s="6"/>
      <c r="B121" s="6"/>
      <c r="C121" s="6"/>
      <c r="D121" s="6"/>
      <c r="E121" s="6"/>
      <c r="F121" s="6"/>
    </row>
    <row r="122" spans="1:6" ht="15.75" thickBot="1">
      <c r="A122" s="6"/>
      <c r="B122" s="6"/>
      <c r="C122" s="6"/>
      <c r="D122" s="6"/>
      <c r="E122" s="6"/>
      <c r="F122" s="6"/>
    </row>
    <row r="123" spans="1:6" ht="15.75" thickBot="1">
      <c r="A123" s="6"/>
      <c r="B123" s="6"/>
      <c r="C123" s="6"/>
      <c r="D123" s="6"/>
      <c r="E123" s="6"/>
      <c r="F123" s="6"/>
    </row>
    <row r="124" spans="1:6" ht="15.75" thickBot="1">
      <c r="A124" s="6"/>
      <c r="B124" s="6"/>
      <c r="C124" s="6"/>
      <c r="D124" s="6"/>
      <c r="E124" s="6"/>
      <c r="F124" s="6"/>
    </row>
    <row r="125" spans="1:6" ht="15.75" thickBot="1">
      <c r="A125" s="6"/>
      <c r="B125" s="6"/>
      <c r="C125" s="6"/>
      <c r="D125" s="6"/>
      <c r="E125" s="6"/>
      <c r="F125" s="6"/>
    </row>
    <row r="126" spans="1:6" ht="15.75" thickBot="1">
      <c r="A126" s="6"/>
      <c r="B126" s="6"/>
      <c r="C126" s="6"/>
      <c r="D126" s="6"/>
      <c r="E126" s="6"/>
      <c r="F126" s="6"/>
    </row>
    <row r="127" spans="1:6" ht="15.75" thickBot="1">
      <c r="A127" s="6"/>
      <c r="B127" s="6"/>
      <c r="C127" s="6"/>
      <c r="D127" s="6"/>
      <c r="E127" s="6"/>
      <c r="F127" s="6"/>
    </row>
    <row r="128" spans="1:6" ht="15.75" thickBot="1">
      <c r="A128" s="6"/>
      <c r="B128" s="6"/>
      <c r="C128" s="6"/>
      <c r="D128" s="6"/>
      <c r="E128" s="6"/>
      <c r="F128" s="6"/>
    </row>
    <row r="129" spans="1:6" ht="15.75" thickBot="1">
      <c r="A129" s="6"/>
      <c r="B129" s="6"/>
      <c r="C129" s="6"/>
      <c r="D129" s="6"/>
      <c r="E129" s="6"/>
      <c r="F129" s="6"/>
    </row>
    <row r="130" spans="1:6" ht="15.75" thickBot="1">
      <c r="A130" s="6"/>
      <c r="B130" s="6"/>
      <c r="C130" s="6"/>
      <c r="D130" s="6"/>
      <c r="E130" s="6"/>
      <c r="F130" s="6"/>
    </row>
    <row r="131" spans="1:6" ht="15.75" thickBot="1">
      <c r="A131" s="6"/>
      <c r="B131" s="6"/>
      <c r="C131" s="6"/>
      <c r="D131" s="6"/>
      <c r="E131" s="6"/>
      <c r="F131" s="6"/>
    </row>
    <row r="132" spans="1:6" ht="15.75" thickBot="1">
      <c r="A132" s="6"/>
      <c r="B132" s="6"/>
      <c r="C132" s="6"/>
      <c r="D132" s="6"/>
      <c r="E132" s="6"/>
      <c r="F132" s="6"/>
    </row>
    <row r="133" spans="1:6" ht="15.75" thickBot="1">
      <c r="A133" s="6"/>
      <c r="B133" s="6"/>
      <c r="C133" s="6"/>
      <c r="D133" s="6"/>
      <c r="E133" s="6"/>
      <c r="F133" s="6"/>
    </row>
    <row r="134" spans="1:6" ht="15.75" thickBot="1">
      <c r="A134" s="6"/>
      <c r="B134" s="6"/>
      <c r="C134" s="6"/>
      <c r="D134" s="6"/>
      <c r="E134" s="6"/>
      <c r="F134" s="6"/>
    </row>
    <row r="135" spans="1:6" ht="15.75" thickBot="1">
      <c r="A135" s="6"/>
      <c r="B135" s="6"/>
      <c r="C135" s="6"/>
      <c r="D135" s="6"/>
      <c r="E135" s="6"/>
      <c r="F135" s="6"/>
    </row>
    <row r="136" spans="1:6" ht="15.75" thickBot="1">
      <c r="A136" s="6"/>
      <c r="B136" s="6"/>
      <c r="C136" s="6"/>
      <c r="D136" s="6"/>
      <c r="E136" s="6"/>
      <c r="F136" s="6"/>
    </row>
    <row r="137" spans="1:6" ht="15.75" thickBot="1">
      <c r="A137" s="6"/>
      <c r="B137" s="6"/>
      <c r="C137" s="6"/>
      <c r="D137" s="6"/>
      <c r="E137" s="6"/>
      <c r="F137" s="6"/>
    </row>
    <row r="138" spans="1:6" ht="15.75" thickBot="1">
      <c r="A138" s="6"/>
      <c r="B138" s="6"/>
      <c r="C138" s="6"/>
      <c r="D138" s="6"/>
      <c r="E138" s="6"/>
      <c r="F138" s="6"/>
    </row>
    <row r="139" spans="1:6" ht="15.75" thickBot="1">
      <c r="A139" s="6"/>
      <c r="B139" s="6"/>
      <c r="C139" s="6"/>
      <c r="D139" s="6"/>
      <c r="E139" s="6"/>
      <c r="F139" s="6"/>
    </row>
    <row r="140" spans="1:6" ht="15.75" thickBot="1">
      <c r="A140" s="6"/>
      <c r="B140" s="6"/>
      <c r="C140" s="6"/>
      <c r="D140" s="6"/>
      <c r="E140" s="6"/>
      <c r="F140" s="6"/>
    </row>
    <row r="141" spans="1:6" ht="15.75" thickBot="1">
      <c r="A141" s="6"/>
      <c r="B141" s="6"/>
      <c r="C141" s="6"/>
      <c r="D141" s="6"/>
      <c r="E141" s="6"/>
      <c r="F141" s="6"/>
    </row>
    <row r="142" spans="1:6" ht="15.75" thickBot="1">
      <c r="A142" s="6"/>
      <c r="B142" s="6"/>
      <c r="C142" s="6"/>
      <c r="D142" s="6"/>
      <c r="E142" s="6"/>
      <c r="F142" s="6"/>
    </row>
    <row r="143" spans="1:6" ht="15.75" thickBot="1">
      <c r="A143" s="6"/>
      <c r="B143" s="6"/>
      <c r="C143" s="6"/>
      <c r="D143" s="6"/>
      <c r="E143" s="6"/>
      <c r="F143" s="6"/>
    </row>
    <row r="144" spans="1:6" ht="15.75" thickBot="1">
      <c r="A144" s="6"/>
      <c r="B144" s="6"/>
      <c r="C144" s="6"/>
      <c r="D144" s="6"/>
      <c r="E144" s="6"/>
      <c r="F144" s="6"/>
    </row>
    <row r="145" spans="1:6" ht="15.75" thickBot="1">
      <c r="A145" s="6"/>
      <c r="B145" s="6"/>
      <c r="C145" s="6"/>
      <c r="D145" s="6"/>
      <c r="E145" s="6"/>
      <c r="F145" s="6"/>
    </row>
    <row r="146" spans="1:6" ht="15.75" thickBot="1">
      <c r="A146" s="6"/>
      <c r="B146" s="6"/>
      <c r="C146" s="6"/>
      <c r="D146" s="6"/>
      <c r="E146" s="6"/>
      <c r="F146" s="6"/>
    </row>
    <row r="147" spans="1:6" ht="15.75" thickBot="1">
      <c r="A147" s="6"/>
      <c r="B147" s="6"/>
      <c r="C147" s="6"/>
      <c r="D147" s="6"/>
      <c r="E147" s="6"/>
      <c r="F147" s="6"/>
    </row>
    <row r="148" spans="1:6" ht="15.75" thickBot="1">
      <c r="A148" s="6"/>
      <c r="B148" s="6"/>
      <c r="C148" s="6"/>
      <c r="D148" s="6"/>
      <c r="E148" s="6"/>
      <c r="F148" s="6"/>
    </row>
    <row r="149" spans="1:6" ht="15.75" thickBot="1">
      <c r="A149" s="6"/>
      <c r="B149" s="6"/>
      <c r="C149" s="6"/>
      <c r="D149" s="6"/>
      <c r="E149" s="6"/>
      <c r="F149" s="6"/>
    </row>
    <row r="150" spans="1:6" ht="15.75" thickBot="1">
      <c r="A150" s="6"/>
      <c r="B150" s="6"/>
      <c r="C150" s="6"/>
      <c r="D150" s="6"/>
      <c r="E150" s="6"/>
      <c r="F150" s="6"/>
    </row>
    <row r="151" spans="1:6" ht="15.75" thickBot="1">
      <c r="A151" s="6"/>
      <c r="B151" s="6"/>
      <c r="C151" s="6"/>
      <c r="D151" s="6"/>
      <c r="E151" s="6"/>
      <c r="F151" s="6"/>
    </row>
    <row r="152" spans="1:6" ht="15.75" thickBot="1">
      <c r="A152" s="6"/>
      <c r="B152" s="6"/>
      <c r="C152" s="6"/>
      <c r="D152" s="6"/>
      <c r="E152" s="6"/>
      <c r="F152" s="6"/>
    </row>
    <row r="153" spans="1:6" ht="15.75" thickBot="1">
      <c r="A153" s="6"/>
      <c r="B153" s="6"/>
      <c r="C153" s="6"/>
      <c r="D153" s="6"/>
      <c r="E153" s="6"/>
      <c r="F153" s="6"/>
    </row>
    <row r="154" spans="1:6" ht="15.75" thickBot="1">
      <c r="A154" s="6"/>
      <c r="B154" s="6"/>
      <c r="C154" s="6"/>
      <c r="D154" s="6"/>
      <c r="E154" s="6"/>
      <c r="F154" s="6"/>
    </row>
    <row r="155" spans="1:6" ht="15.75" thickBot="1">
      <c r="A155" s="6"/>
      <c r="B155" s="6"/>
      <c r="C155" s="6"/>
      <c r="D155" s="6"/>
      <c r="E155" s="6"/>
      <c r="F155" s="6"/>
    </row>
    <row r="156" spans="1:6" ht="15.75" thickBot="1">
      <c r="A156" s="6"/>
      <c r="B156" s="6"/>
      <c r="C156" s="6"/>
      <c r="D156" s="6"/>
      <c r="E156" s="6"/>
      <c r="F156" s="6"/>
    </row>
    <row r="157" spans="1:6" ht="15.75" thickBot="1">
      <c r="A157" s="6"/>
      <c r="B157" s="6"/>
      <c r="C157" s="6"/>
      <c r="D157" s="6"/>
      <c r="E157" s="6"/>
      <c r="F157" s="6"/>
    </row>
    <row r="158" spans="1:6" ht="15.75" thickBot="1">
      <c r="A158" s="6"/>
      <c r="B158" s="6"/>
      <c r="C158" s="6"/>
      <c r="D158" s="6"/>
      <c r="E158" s="6"/>
      <c r="F158" s="6"/>
    </row>
    <row r="159" spans="1:6" ht="15.75" thickBot="1">
      <c r="A159" s="6"/>
      <c r="B159" s="6"/>
      <c r="C159" s="6"/>
      <c r="D159" s="6"/>
      <c r="E159" s="6"/>
      <c r="F159" s="6"/>
    </row>
    <row r="160" spans="1:6" ht="15.75" thickBot="1">
      <c r="A160" s="6"/>
      <c r="B160" s="6"/>
      <c r="C160" s="6"/>
      <c r="D160" s="6"/>
      <c r="E160" s="6"/>
      <c r="F160" s="6"/>
    </row>
    <row r="161" spans="1:6" ht="15.75" thickBot="1">
      <c r="A161" s="6"/>
      <c r="B161" s="6"/>
      <c r="C161" s="6"/>
      <c r="D161" s="6"/>
      <c r="E161" s="6"/>
      <c r="F161" s="6"/>
    </row>
    <row r="162" spans="1:6" ht="15.75" thickBot="1">
      <c r="A162" s="6"/>
      <c r="B162" s="6"/>
      <c r="C162" s="6"/>
      <c r="D162" s="6"/>
      <c r="E162" s="6"/>
      <c r="F162" s="6"/>
    </row>
    <row r="163" spans="1:6" ht="15.75" thickBot="1">
      <c r="A163" s="6"/>
      <c r="B163" s="6"/>
      <c r="C163" s="6"/>
      <c r="D163" s="6"/>
      <c r="E163" s="6"/>
      <c r="F163" s="6"/>
    </row>
    <row r="164" spans="1:6" ht="15.75" thickBot="1">
      <c r="A164" s="6"/>
      <c r="B164" s="6"/>
      <c r="C164" s="6"/>
      <c r="D164" s="6"/>
      <c r="E164" s="6"/>
      <c r="F164" s="6"/>
    </row>
    <row r="165" spans="1:6" ht="15.75" thickBot="1">
      <c r="A165" s="6"/>
      <c r="B165" s="6"/>
      <c r="C165" s="6"/>
      <c r="D165" s="6"/>
      <c r="E165" s="6"/>
      <c r="F165" s="6"/>
    </row>
    <row r="166" spans="1:6" ht="15.75" thickBot="1">
      <c r="A166" s="6"/>
      <c r="B166" s="6"/>
      <c r="C166" s="6"/>
      <c r="D166" s="6"/>
      <c r="E166" s="6"/>
      <c r="F166" s="6"/>
    </row>
    <row r="167" spans="1:6" ht="15.75" thickBot="1">
      <c r="A167" s="6"/>
      <c r="B167" s="6"/>
      <c r="C167" s="6"/>
      <c r="D167" s="6"/>
      <c r="E167" s="6"/>
      <c r="F167" s="6"/>
    </row>
    <row r="168" spans="1:6" ht="15.75" thickBot="1">
      <c r="A168" s="6"/>
      <c r="B168" s="6"/>
      <c r="C168" s="6"/>
      <c r="D168" s="6"/>
      <c r="E168" s="6"/>
      <c r="F168" s="6"/>
    </row>
    <row r="169" spans="1:6" ht="15.75" thickBot="1">
      <c r="A169" s="6"/>
      <c r="B169" s="6"/>
      <c r="C169" s="6"/>
      <c r="D169" s="6"/>
      <c r="E169" s="6"/>
      <c r="F169" s="6"/>
    </row>
    <row r="170" spans="1:6" ht="15.75" thickBot="1">
      <c r="A170" s="6"/>
      <c r="B170" s="6"/>
      <c r="C170" s="6"/>
      <c r="D170" s="6"/>
      <c r="E170" s="6"/>
      <c r="F170" s="6"/>
    </row>
    <row r="171" spans="1:6" ht="15.75" thickBot="1">
      <c r="A171" s="6"/>
      <c r="B171" s="6"/>
      <c r="C171" s="6"/>
      <c r="D171" s="6"/>
      <c r="E171" s="6"/>
      <c r="F171" s="6"/>
    </row>
    <row r="172" spans="1:6" ht="15.75" thickBot="1">
      <c r="A172" s="6"/>
      <c r="B172" s="6"/>
      <c r="C172" s="6"/>
      <c r="D172" s="6"/>
      <c r="E172" s="6"/>
      <c r="F172" s="6"/>
    </row>
    <row r="173" spans="1:6" ht="15.75" thickBot="1">
      <c r="A173" s="6"/>
      <c r="B173" s="6"/>
      <c r="C173" s="6"/>
      <c r="D173" s="6"/>
      <c r="E173" s="6"/>
      <c r="F173" s="6"/>
    </row>
    <row r="174" spans="1:6" ht="15.75" thickBot="1">
      <c r="A174" s="6"/>
      <c r="B174" s="6"/>
      <c r="C174" s="6"/>
      <c r="D174" s="6"/>
      <c r="E174" s="6"/>
      <c r="F174" s="6"/>
    </row>
    <row r="175" spans="1:6" ht="15.75" thickBot="1">
      <c r="A175" s="6"/>
      <c r="B175" s="6"/>
      <c r="C175" s="6"/>
      <c r="D175" s="6"/>
      <c r="E175" s="6"/>
      <c r="F175" s="6"/>
    </row>
    <row r="176" spans="1:6" ht="15.75" thickBot="1">
      <c r="A176" s="6"/>
      <c r="B176" s="6"/>
      <c r="C176" s="6"/>
      <c r="D176" s="6"/>
      <c r="E176" s="6"/>
      <c r="F176" s="6"/>
    </row>
    <row r="177" spans="1:6" ht="15.75" thickBot="1">
      <c r="A177" s="6"/>
      <c r="B177" s="6"/>
      <c r="C177" s="6"/>
      <c r="D177" s="6"/>
      <c r="E177" s="6"/>
      <c r="F177" s="6"/>
    </row>
    <row r="178" spans="1:6" ht="15.75" thickBot="1">
      <c r="A178" s="6"/>
      <c r="B178" s="6"/>
      <c r="C178" s="6"/>
      <c r="D178" s="6"/>
      <c r="E178" s="6"/>
      <c r="F178" s="6"/>
    </row>
    <row r="179" spans="1:6" ht="15.75" thickBot="1">
      <c r="A179" s="6"/>
      <c r="B179" s="6"/>
      <c r="C179" s="6"/>
      <c r="D179" s="6"/>
      <c r="E179" s="6"/>
      <c r="F179" s="6"/>
    </row>
    <row r="180" spans="1:6" ht="15.75" thickBot="1">
      <c r="A180" s="6"/>
      <c r="B180" s="6"/>
      <c r="C180" s="6"/>
      <c r="D180" s="6"/>
      <c r="E180" s="6"/>
      <c r="F180" s="6"/>
    </row>
    <row r="181" spans="1:6" ht="15.75" thickBot="1">
      <c r="A181" s="6"/>
      <c r="B181" s="6"/>
      <c r="C181" s="6"/>
      <c r="D181" s="6"/>
      <c r="E181" s="6"/>
      <c r="F181" s="6"/>
    </row>
    <row r="182" spans="1:6" ht="15.75" thickBot="1">
      <c r="A182" s="6"/>
      <c r="B182" s="6"/>
      <c r="C182" s="6"/>
      <c r="D182" s="6"/>
      <c r="E182" s="6"/>
      <c r="F182" s="6"/>
    </row>
    <row r="183" spans="1:6" ht="15.75" thickBot="1">
      <c r="A183" s="6"/>
      <c r="B183" s="6"/>
      <c r="C183" s="6"/>
      <c r="D183" s="6"/>
      <c r="E183" s="6"/>
      <c r="F183" s="6"/>
    </row>
    <row r="184" spans="1:6" ht="15.75" thickBot="1">
      <c r="A184" s="6"/>
      <c r="B184" s="6"/>
      <c r="C184" s="6"/>
      <c r="D184" s="6"/>
      <c r="E184" s="6"/>
      <c r="F184" s="6"/>
    </row>
    <row r="185" spans="1:6" ht="15.75" thickBot="1">
      <c r="A185" s="6"/>
      <c r="B185" s="6"/>
      <c r="C185" s="6"/>
      <c r="D185" s="6"/>
      <c r="E185" s="6"/>
      <c r="F185" s="6"/>
    </row>
    <row r="186" spans="1:6" ht="15.75" thickBot="1">
      <c r="A186" s="6"/>
      <c r="B186" s="6"/>
      <c r="C186" s="6"/>
      <c r="D186" s="6"/>
      <c r="E186" s="6"/>
      <c r="F186" s="6"/>
    </row>
    <row r="187" spans="1:6" ht="15.75" thickBot="1">
      <c r="A187" s="6"/>
      <c r="B187" s="6"/>
      <c r="C187" s="6"/>
      <c r="D187" s="6"/>
      <c r="E187" s="6"/>
      <c r="F187" s="6"/>
    </row>
    <row r="188" spans="1:6" ht="15.75" thickBot="1">
      <c r="A188" s="6"/>
      <c r="B188" s="6"/>
      <c r="C188" s="6"/>
      <c r="D188" s="6"/>
      <c r="E188" s="6"/>
      <c r="F188" s="6"/>
    </row>
    <row r="189" spans="1:6" ht="15.75" thickBot="1">
      <c r="A189" s="6"/>
      <c r="B189" s="6"/>
      <c r="C189" s="6"/>
      <c r="D189" s="6"/>
      <c r="E189" s="6"/>
      <c r="F189" s="6"/>
    </row>
    <row r="190" spans="1:6" ht="15.75" thickBot="1">
      <c r="A190" s="6"/>
      <c r="B190" s="6"/>
      <c r="C190" s="6"/>
      <c r="D190" s="6"/>
      <c r="E190" s="6"/>
      <c r="F190" s="6"/>
    </row>
    <row r="191" spans="1:6" ht="15.75" thickBot="1">
      <c r="A191" s="6"/>
      <c r="B191" s="6"/>
      <c r="C191" s="6"/>
      <c r="D191" s="6"/>
      <c r="E191" s="6"/>
      <c r="F191" s="6"/>
    </row>
    <row r="192" spans="1:6" ht="15.75" thickBot="1">
      <c r="A192" s="6"/>
      <c r="B192" s="6"/>
      <c r="C192" s="6"/>
      <c r="D192" s="6"/>
      <c r="E192" s="6"/>
      <c r="F192" s="6"/>
    </row>
    <row r="193" spans="1:6" ht="15.75" thickBot="1">
      <c r="A193" s="6"/>
      <c r="B193" s="6"/>
      <c r="C193" s="6"/>
      <c r="D193" s="6"/>
      <c r="E193" s="6"/>
      <c r="F193" s="6"/>
    </row>
    <row r="194" spans="1:6" ht="15.75" thickBot="1">
      <c r="A194" s="6"/>
      <c r="B194" s="6"/>
      <c r="C194" s="6"/>
      <c r="D194" s="6"/>
      <c r="E194" s="6"/>
      <c r="F194" s="6"/>
    </row>
    <row r="195" spans="1:6" ht="15.75" thickBot="1">
      <c r="A195" s="6"/>
      <c r="B195" s="6"/>
      <c r="C195" s="6"/>
      <c r="D195" s="6"/>
      <c r="E195" s="6"/>
      <c r="F195" s="6"/>
    </row>
    <row r="196" spans="1:6" ht="15.75" thickBot="1">
      <c r="A196" s="6"/>
      <c r="B196" s="6"/>
      <c r="C196" s="6"/>
      <c r="D196" s="6"/>
      <c r="E196" s="6"/>
      <c r="F196" s="6"/>
    </row>
    <row r="197" spans="1:6" ht="15.75" thickBot="1">
      <c r="A197" s="6"/>
      <c r="B197" s="6"/>
      <c r="C197" s="6"/>
      <c r="D197" s="6"/>
      <c r="E197" s="6"/>
      <c r="F197" s="6"/>
    </row>
    <row r="198" spans="1:6" ht="15.75" thickBot="1">
      <c r="A198" s="6"/>
      <c r="B198" s="6"/>
      <c r="C198" s="6"/>
      <c r="D198" s="6"/>
      <c r="E198" s="6"/>
      <c r="F198" s="6"/>
    </row>
    <row r="199" spans="1:6" ht="15.75" thickBot="1">
      <c r="A199" s="6"/>
      <c r="B199" s="6"/>
      <c r="C199" s="6"/>
      <c r="D199" s="6"/>
      <c r="E199" s="6"/>
      <c r="F199" s="6"/>
    </row>
    <row r="200" spans="1:6" ht="15.75" thickBot="1">
      <c r="A200" s="6"/>
      <c r="B200" s="6"/>
      <c r="C200" s="6"/>
      <c r="D200" s="6"/>
      <c r="E200" s="6"/>
      <c r="F200" s="6"/>
    </row>
    <row r="201" spans="1:6" ht="15.75" thickBot="1">
      <c r="A201" s="6"/>
      <c r="B201" s="6"/>
      <c r="C201" s="6"/>
      <c r="D201" s="6"/>
      <c r="E201" s="6"/>
      <c r="F201" s="6"/>
    </row>
    <row r="202" spans="1:6" ht="15.75" thickBot="1">
      <c r="A202" s="6"/>
      <c r="B202" s="6"/>
      <c r="C202" s="6"/>
      <c r="D202" s="6"/>
      <c r="E202" s="6"/>
      <c r="F202" s="6"/>
    </row>
    <row r="203" spans="1:6" ht="15.75" thickBot="1">
      <c r="A203" s="6"/>
      <c r="B203" s="6"/>
      <c r="C203" s="6"/>
      <c r="D203" s="6"/>
      <c r="E203" s="6"/>
      <c r="F203" s="6"/>
    </row>
    <row r="204" spans="1:6" ht="15.75" thickBot="1">
      <c r="A204" s="6"/>
      <c r="B204" s="6"/>
      <c r="C204" s="6"/>
      <c r="D204" s="6"/>
      <c r="E204" s="6"/>
      <c r="F204" s="6"/>
    </row>
    <row r="205" spans="1:6" ht="15.75" thickBot="1">
      <c r="A205" s="6"/>
      <c r="B205" s="6"/>
      <c r="C205" s="6"/>
      <c r="D205" s="6"/>
      <c r="E205" s="6"/>
      <c r="F205" s="6"/>
    </row>
    <row r="206" spans="1:6" ht="15.75" thickBot="1">
      <c r="A206" s="6"/>
      <c r="B206" s="6"/>
      <c r="C206" s="6"/>
      <c r="D206" s="6"/>
      <c r="E206" s="6"/>
      <c r="F206" s="6"/>
    </row>
    <row r="207" spans="1:6" ht="15.75" thickBot="1">
      <c r="A207" s="6"/>
      <c r="B207" s="6"/>
      <c r="C207" s="6"/>
      <c r="D207" s="6"/>
      <c r="E207" s="6"/>
      <c r="F207" s="6"/>
    </row>
    <row r="208" spans="1:6" ht="15.75" thickBot="1">
      <c r="A208" s="6"/>
      <c r="B208" s="6"/>
      <c r="C208" s="6"/>
      <c r="D208" s="6"/>
      <c r="E208" s="6"/>
      <c r="F208" s="6"/>
    </row>
    <row r="209" spans="1:6" ht="15.75" thickBot="1">
      <c r="A209" s="6"/>
      <c r="B209" s="6"/>
      <c r="C209" s="6"/>
      <c r="D209" s="6"/>
      <c r="E209" s="6"/>
      <c r="F209" s="6"/>
    </row>
    <row r="210" spans="1:6" ht="15.75" thickBot="1">
      <c r="A210" s="6"/>
      <c r="B210" s="6"/>
      <c r="C210" s="6"/>
      <c r="D210" s="6"/>
      <c r="E210" s="6"/>
      <c r="F210" s="6"/>
    </row>
    <row r="211" spans="1:6" ht="15.75" thickBot="1">
      <c r="A211" s="6"/>
      <c r="B211" s="6"/>
      <c r="C211" s="6"/>
      <c r="D211" s="6"/>
      <c r="E211" s="6"/>
      <c r="F211" s="6"/>
    </row>
    <row r="212" spans="1:6" ht="15.75" thickBot="1">
      <c r="A212" s="6"/>
      <c r="B212" s="6"/>
      <c r="C212" s="6"/>
      <c r="D212" s="6"/>
      <c r="E212" s="6"/>
      <c r="F212" s="6"/>
    </row>
    <row r="213" spans="1:6" ht="15.75" thickBot="1">
      <c r="A213" s="6"/>
      <c r="B213" s="6"/>
      <c r="C213" s="6"/>
      <c r="D213" s="6"/>
      <c r="E213" s="6"/>
      <c r="F213" s="6"/>
    </row>
    <row r="214" spans="1:6" ht="15.75" thickBot="1">
      <c r="A214" s="6"/>
      <c r="B214" s="6"/>
      <c r="C214" s="6"/>
      <c r="D214" s="6"/>
      <c r="E214" s="6"/>
      <c r="F214" s="6"/>
    </row>
    <row r="215" spans="1:6" ht="15.75" thickBot="1">
      <c r="A215" s="6"/>
      <c r="B215" s="6"/>
      <c r="C215" s="6"/>
      <c r="D215" s="6"/>
      <c r="E215" s="6"/>
      <c r="F215" s="6"/>
    </row>
    <row r="216" spans="1:6" ht="15.75" thickBot="1">
      <c r="A216" s="6"/>
      <c r="B216" s="6"/>
      <c r="C216" s="6"/>
      <c r="D216" s="6"/>
      <c r="E216" s="6"/>
      <c r="F216" s="6"/>
    </row>
    <row r="217" spans="1:6" ht="15.75" thickBot="1">
      <c r="A217" s="6"/>
      <c r="B217" s="6"/>
      <c r="C217" s="6"/>
      <c r="D217" s="6"/>
      <c r="E217" s="6"/>
      <c r="F217" s="6"/>
    </row>
    <row r="218" spans="1:6" ht="15.75" thickBot="1">
      <c r="A218" s="6"/>
      <c r="B218" s="6"/>
      <c r="C218" s="6"/>
      <c r="D218" s="6"/>
      <c r="E218" s="6"/>
      <c r="F218" s="6"/>
    </row>
    <row r="219" spans="1:6" ht="15.75" thickBot="1">
      <c r="A219" s="6"/>
      <c r="B219" s="6"/>
      <c r="C219" s="6"/>
      <c r="D219" s="6"/>
      <c r="E219" s="6"/>
      <c r="F219" s="6"/>
    </row>
    <row r="220" spans="1:6" ht="15.75" thickBot="1">
      <c r="A220" s="6"/>
      <c r="B220" s="6"/>
      <c r="C220" s="6"/>
      <c r="D220" s="6"/>
      <c r="E220" s="6"/>
      <c r="F220" s="6"/>
    </row>
    <row r="221" spans="1:6" ht="15.75" thickBot="1">
      <c r="A221" s="6"/>
      <c r="B221" s="6"/>
      <c r="C221" s="6"/>
      <c r="D221" s="6"/>
      <c r="E221" s="6"/>
      <c r="F221" s="6"/>
    </row>
    <row r="222" spans="1:6" ht="15.75" thickBot="1">
      <c r="A222" s="6"/>
      <c r="B222" s="6"/>
      <c r="C222" s="6"/>
      <c r="D222" s="6"/>
      <c r="E222" s="6"/>
      <c r="F222" s="6"/>
    </row>
    <row r="223" spans="1:6" ht="15.75" thickBot="1">
      <c r="A223" s="6"/>
      <c r="B223" s="6"/>
      <c r="C223" s="6"/>
      <c r="D223" s="6"/>
      <c r="E223" s="6"/>
      <c r="F223" s="6"/>
    </row>
    <row r="224" spans="1:6" ht="15.75" thickBot="1">
      <c r="A224" s="6"/>
      <c r="B224" s="6"/>
      <c r="C224" s="6"/>
      <c r="D224" s="6"/>
      <c r="E224" s="6"/>
      <c r="F224" s="6"/>
    </row>
    <row r="225" spans="1:6" ht="15.75" thickBot="1">
      <c r="A225" s="6"/>
      <c r="B225" s="6"/>
      <c r="C225" s="6"/>
      <c r="D225" s="6"/>
      <c r="E225" s="6"/>
      <c r="F225" s="6"/>
    </row>
    <row r="226" spans="1:6" ht="15.75" thickBot="1">
      <c r="A226" s="6"/>
      <c r="B226" s="6"/>
      <c r="C226" s="6"/>
      <c r="D226" s="6"/>
      <c r="E226" s="6"/>
      <c r="F226" s="6"/>
    </row>
    <row r="227" spans="1:6" ht="15.75" thickBot="1">
      <c r="A227" s="6"/>
      <c r="B227" s="6"/>
      <c r="C227" s="6"/>
      <c r="D227" s="6"/>
      <c r="E227" s="6"/>
      <c r="F227" s="6"/>
    </row>
    <row r="228" spans="1:6" ht="15.75" thickBot="1">
      <c r="A228" s="6"/>
      <c r="B228" s="6"/>
      <c r="C228" s="6"/>
      <c r="D228" s="6"/>
      <c r="E228" s="6"/>
      <c r="F228" s="6"/>
    </row>
    <row r="229" spans="1:6" ht="15.75" thickBot="1">
      <c r="A229" s="6"/>
      <c r="B229" s="6"/>
      <c r="C229" s="6"/>
      <c r="D229" s="6"/>
      <c r="E229" s="6"/>
      <c r="F229" s="6"/>
    </row>
    <row r="230" spans="1:6" ht="15.75" thickBot="1">
      <c r="A230" s="6"/>
      <c r="B230" s="6"/>
      <c r="C230" s="6"/>
      <c r="D230" s="6"/>
      <c r="E230" s="6"/>
      <c r="F230" s="6"/>
    </row>
    <row r="231" spans="1:6" ht="15.75" thickBot="1">
      <c r="A231" s="6"/>
      <c r="B231" s="6"/>
      <c r="C231" s="6"/>
      <c r="D231" s="6"/>
      <c r="E231" s="6"/>
      <c r="F231" s="6"/>
    </row>
    <row r="232" spans="1:6" ht="15.75" thickBot="1">
      <c r="A232" s="6"/>
      <c r="B232" s="6"/>
      <c r="C232" s="6"/>
      <c r="D232" s="6"/>
      <c r="E232" s="6"/>
      <c r="F232" s="6"/>
    </row>
    <row r="233" spans="1:6" ht="15.75" thickBot="1">
      <c r="A233" s="6"/>
      <c r="B233" s="6"/>
      <c r="C233" s="6"/>
      <c r="D233" s="6"/>
      <c r="E233" s="6"/>
      <c r="F233" s="6"/>
    </row>
    <row r="234" spans="1:6" ht="15.75" thickBot="1">
      <c r="A234" s="6"/>
      <c r="B234" s="6"/>
      <c r="C234" s="6"/>
      <c r="D234" s="6"/>
      <c r="E234" s="6"/>
      <c r="F234" s="6"/>
    </row>
    <row r="235" spans="1:6" ht="15.75" thickBot="1">
      <c r="A235" s="6"/>
      <c r="B235" s="6"/>
      <c r="C235" s="6"/>
      <c r="D235" s="6"/>
      <c r="E235" s="6"/>
      <c r="F235" s="6"/>
    </row>
    <row r="236" spans="1:6" ht="15.75" thickBot="1">
      <c r="A236" s="6"/>
      <c r="B236" s="6"/>
      <c r="C236" s="6"/>
      <c r="D236" s="6"/>
      <c r="E236" s="6"/>
      <c r="F236" s="6"/>
    </row>
    <row r="237" spans="1:6" ht="15.75" thickBot="1">
      <c r="A237" s="6"/>
      <c r="B237" s="6"/>
      <c r="C237" s="6"/>
      <c r="D237" s="6"/>
      <c r="E237" s="6"/>
      <c r="F237" s="6"/>
    </row>
    <row r="238" spans="1:6" ht="15.75" thickBot="1">
      <c r="A238" s="6"/>
      <c r="B238" s="6"/>
      <c r="C238" s="6"/>
      <c r="D238" s="6"/>
      <c r="E238" s="6"/>
      <c r="F238" s="6"/>
    </row>
    <row r="239" spans="1:6" ht="15.75" thickBot="1">
      <c r="A239" s="6"/>
      <c r="B239" s="6"/>
      <c r="C239" s="6"/>
      <c r="D239" s="6"/>
      <c r="E239" s="6"/>
      <c r="F239" s="6"/>
    </row>
    <row r="240" spans="1:6" ht="15.75" thickBot="1">
      <c r="A240" s="6"/>
      <c r="B240" s="6"/>
      <c r="C240" s="6"/>
      <c r="D240" s="6"/>
      <c r="E240" s="6"/>
      <c r="F240" s="6"/>
    </row>
    <row r="241" spans="1:6" ht="15.75" thickBot="1">
      <c r="A241" s="6"/>
      <c r="B241" s="6"/>
      <c r="C241" s="6"/>
      <c r="D241" s="6"/>
      <c r="E241" s="6"/>
      <c r="F241" s="6"/>
    </row>
    <row r="242" spans="1:6" ht="15.75" thickBot="1">
      <c r="A242" s="6"/>
      <c r="B242" s="6"/>
      <c r="C242" s="6"/>
      <c r="D242" s="6"/>
      <c r="E242" s="6"/>
      <c r="F242" s="6"/>
    </row>
    <row r="243" spans="1:6" ht="15.75" thickBot="1">
      <c r="A243" s="6"/>
      <c r="B243" s="6"/>
      <c r="C243" s="6"/>
      <c r="D243" s="6"/>
      <c r="E243" s="6"/>
      <c r="F243" s="6"/>
    </row>
    <row r="244" spans="1:6" ht="15.75" thickBot="1">
      <c r="A244" s="6"/>
      <c r="B244" s="6"/>
      <c r="C244" s="6"/>
      <c r="D244" s="6"/>
      <c r="E244" s="6"/>
      <c r="F244" s="6"/>
    </row>
    <row r="245" spans="1:6" ht="15.75" thickBot="1">
      <c r="A245" s="6"/>
      <c r="B245" s="6"/>
      <c r="C245" s="6"/>
      <c r="D245" s="6"/>
      <c r="E245" s="6"/>
      <c r="F245" s="6"/>
    </row>
    <row r="246" spans="1:6" ht="15.75" thickBot="1">
      <c r="A246" s="6"/>
      <c r="B246" s="6"/>
      <c r="C246" s="6"/>
      <c r="D246" s="6"/>
      <c r="E246" s="6"/>
      <c r="F246" s="6"/>
    </row>
    <row r="247" spans="1:6" ht="15.75" thickBot="1">
      <c r="A247" s="6"/>
      <c r="B247" s="6"/>
      <c r="C247" s="6"/>
      <c r="D247" s="6"/>
      <c r="E247" s="6"/>
      <c r="F247" s="6"/>
    </row>
    <row r="248" spans="1:6" ht="15.75" thickBot="1">
      <c r="A248" s="6"/>
      <c r="B248" s="6"/>
      <c r="C248" s="6"/>
      <c r="D248" s="6"/>
      <c r="E248" s="6"/>
      <c r="F248" s="6"/>
    </row>
    <row r="249" spans="1:6" ht="15.75" thickBot="1">
      <c r="A249" s="6"/>
      <c r="B249" s="6"/>
      <c r="C249" s="6"/>
      <c r="D249" s="6"/>
      <c r="E249" s="6"/>
      <c r="F249" s="6"/>
    </row>
    <row r="250" spans="1:6" ht="15.75" thickBot="1">
      <c r="A250" s="6"/>
      <c r="B250" s="6"/>
      <c r="C250" s="6"/>
      <c r="D250" s="6"/>
      <c r="E250" s="6"/>
      <c r="F250" s="6"/>
    </row>
    <row r="251" spans="1:6" ht="15.75" thickBot="1">
      <c r="A251" s="6"/>
      <c r="B251" s="6"/>
      <c r="C251" s="6"/>
      <c r="D251" s="6"/>
      <c r="E251" s="6"/>
      <c r="F251" s="6"/>
    </row>
    <row r="252" spans="1:6" ht="15.75" thickBot="1">
      <c r="A252" s="6"/>
      <c r="B252" s="6"/>
      <c r="C252" s="6"/>
      <c r="D252" s="6"/>
      <c r="E252" s="6"/>
      <c r="F252" s="6"/>
    </row>
    <row r="253" spans="1:6" ht="15.75" thickBot="1">
      <c r="A253" s="6"/>
      <c r="B253" s="6"/>
      <c r="C253" s="6"/>
      <c r="D253" s="6"/>
      <c r="E253" s="6"/>
      <c r="F253" s="6"/>
    </row>
    <row r="254" spans="1:6" ht="15.75" thickBot="1">
      <c r="A254" s="6"/>
      <c r="B254" s="6"/>
      <c r="C254" s="6"/>
      <c r="D254" s="6"/>
      <c r="E254" s="6"/>
      <c r="F254" s="6"/>
    </row>
    <row r="255" spans="1:6" ht="15.75" thickBot="1">
      <c r="A255" s="6"/>
      <c r="B255" s="6"/>
      <c r="C255" s="6"/>
      <c r="D255" s="6"/>
      <c r="E255" s="6"/>
      <c r="F255" s="6"/>
    </row>
    <row r="256" spans="1:6" ht="15.75" thickBot="1">
      <c r="A256" s="6"/>
      <c r="B256" s="6"/>
      <c r="C256" s="6"/>
      <c r="D256" s="6"/>
      <c r="E256" s="6"/>
      <c r="F256" s="6"/>
    </row>
    <row r="257" spans="1:6" ht="15.75" thickBot="1">
      <c r="A257" s="6"/>
      <c r="B257" s="6"/>
      <c r="C257" s="6"/>
      <c r="D257" s="6"/>
      <c r="E257" s="6"/>
      <c r="F257" s="6"/>
    </row>
    <row r="258" spans="1:6" ht="15.75" thickBot="1">
      <c r="A258" s="6"/>
      <c r="B258" s="6"/>
      <c r="C258" s="6"/>
      <c r="D258" s="6"/>
      <c r="E258" s="6"/>
      <c r="F258" s="6"/>
    </row>
    <row r="259" spans="1:6" ht="15.75" thickBot="1">
      <c r="A259" s="6"/>
      <c r="B259" s="6"/>
      <c r="C259" s="6"/>
      <c r="D259" s="6"/>
      <c r="E259" s="6"/>
      <c r="F259" s="6"/>
    </row>
    <row r="260" spans="1:6" ht="15.75" thickBot="1">
      <c r="A260" s="6"/>
      <c r="B260" s="6"/>
      <c r="C260" s="6"/>
      <c r="D260" s="6"/>
      <c r="E260" s="6"/>
      <c r="F260" s="6"/>
    </row>
    <row r="261" spans="1:6" ht="15.75" thickBot="1">
      <c r="A261" s="6"/>
      <c r="B261" s="6"/>
      <c r="C261" s="6"/>
      <c r="D261" s="6"/>
      <c r="E261" s="6"/>
      <c r="F261" s="6"/>
    </row>
    <row r="262" spans="1:6" ht="15.75" thickBot="1">
      <c r="A262" s="6"/>
      <c r="B262" s="6"/>
      <c r="C262" s="6"/>
      <c r="D262" s="6"/>
      <c r="E262" s="6"/>
      <c r="F262" s="6"/>
    </row>
    <row r="263" spans="1:6" ht="15.75" thickBot="1">
      <c r="A263" s="6"/>
      <c r="B263" s="6"/>
      <c r="C263" s="6"/>
      <c r="D263" s="6"/>
      <c r="E263" s="6"/>
      <c r="F263" s="6"/>
    </row>
    <row r="264" spans="1:6" ht="15.75" thickBot="1">
      <c r="A264" s="6"/>
      <c r="B264" s="6"/>
      <c r="C264" s="6"/>
      <c r="D264" s="6"/>
      <c r="E264" s="6"/>
      <c r="F264" s="6"/>
    </row>
    <row r="265" spans="1:6" ht="15.75" thickBot="1">
      <c r="A265" s="6"/>
      <c r="B265" s="6"/>
      <c r="C265" s="6"/>
      <c r="D265" s="6"/>
      <c r="E265" s="6"/>
      <c r="F265" s="6"/>
    </row>
    <row r="266" spans="1:6" ht="15.75" thickBot="1">
      <c r="A266" s="6"/>
      <c r="B266" s="6"/>
      <c r="C266" s="6"/>
      <c r="D266" s="6"/>
      <c r="E266" s="6"/>
      <c r="F266" s="6"/>
    </row>
    <row r="267" spans="1:6" ht="15.75" thickBot="1">
      <c r="A267" s="6"/>
      <c r="B267" s="6"/>
      <c r="C267" s="6"/>
      <c r="D267" s="6"/>
      <c r="E267" s="6"/>
      <c r="F267" s="6"/>
    </row>
    <row r="268" spans="1:6" ht="15.75" thickBot="1">
      <c r="A268" s="6"/>
      <c r="B268" s="6"/>
      <c r="C268" s="6"/>
      <c r="D268" s="6"/>
      <c r="E268" s="6"/>
      <c r="F268" s="6"/>
    </row>
    <row r="269" spans="1:6" ht="15.75" thickBot="1">
      <c r="A269" s="6"/>
      <c r="B269" s="6"/>
      <c r="C269" s="6"/>
      <c r="D269" s="6"/>
      <c r="E269" s="6"/>
      <c r="F269" s="6"/>
    </row>
    <row r="270" spans="1:6" ht="15.75" thickBot="1">
      <c r="A270" s="6"/>
      <c r="B270" s="6"/>
      <c r="C270" s="6"/>
      <c r="D270" s="6"/>
      <c r="E270" s="6"/>
      <c r="F270" s="6"/>
    </row>
    <row r="271" spans="1:6" ht="15.75" thickBot="1">
      <c r="A271" s="6"/>
      <c r="B271" s="6"/>
      <c r="C271" s="6"/>
      <c r="D271" s="6"/>
      <c r="E271" s="6"/>
      <c r="F271" s="6"/>
    </row>
    <row r="272" spans="1:6" ht="15.75" thickBot="1">
      <c r="A272" s="6"/>
      <c r="B272" s="6"/>
      <c r="C272" s="6"/>
      <c r="D272" s="6"/>
      <c r="E272" s="6"/>
      <c r="F272" s="6"/>
    </row>
    <row r="273" spans="1:6" ht="15.75" thickBot="1">
      <c r="A273" s="6"/>
      <c r="B273" s="6"/>
      <c r="C273" s="6"/>
      <c r="D273" s="6"/>
      <c r="E273" s="6"/>
      <c r="F273" s="6"/>
    </row>
    <row r="274" spans="1:6" ht="15.75" thickBot="1">
      <c r="A274" s="6"/>
      <c r="B274" s="6"/>
      <c r="C274" s="6"/>
      <c r="D274" s="6"/>
      <c r="E274" s="6"/>
      <c r="F274" s="6"/>
    </row>
    <row r="275" spans="1:6" ht="15.75" thickBot="1">
      <c r="A275" s="6"/>
      <c r="B275" s="6"/>
      <c r="C275" s="6"/>
      <c r="D275" s="6"/>
      <c r="E275" s="6"/>
      <c r="F275" s="6"/>
    </row>
    <row r="276" spans="1:6" ht="15.75" thickBot="1">
      <c r="A276" s="6"/>
      <c r="B276" s="6"/>
      <c r="C276" s="6"/>
      <c r="D276" s="6"/>
      <c r="E276" s="6"/>
      <c r="F276" s="6"/>
    </row>
    <row r="277" spans="1:6" ht="15.75" thickBot="1">
      <c r="A277" s="6"/>
      <c r="B277" s="6"/>
      <c r="C277" s="6"/>
      <c r="D277" s="6"/>
      <c r="E277" s="6"/>
      <c r="F277" s="6"/>
    </row>
    <row r="278" spans="1:6" ht="15.75" thickBot="1">
      <c r="A278" s="6"/>
      <c r="B278" s="6"/>
      <c r="C278" s="6"/>
      <c r="D278" s="6"/>
      <c r="E278" s="6"/>
      <c r="F278" s="6"/>
    </row>
    <row r="279" spans="1:6" ht="15.75" thickBot="1">
      <c r="A279" s="6"/>
      <c r="B279" s="6"/>
      <c r="C279" s="6"/>
      <c r="D279" s="6"/>
      <c r="E279" s="6"/>
      <c r="F279" s="6"/>
    </row>
    <row r="280" spans="1:6" ht="15.75" thickBot="1">
      <c r="A280" s="6"/>
      <c r="B280" s="6"/>
      <c r="C280" s="6"/>
      <c r="D280" s="6"/>
      <c r="E280" s="6"/>
      <c r="F280" s="6"/>
    </row>
    <row r="281" spans="1:6" ht="15.75" thickBot="1">
      <c r="A281" s="6"/>
      <c r="B281" s="6"/>
      <c r="C281" s="6"/>
      <c r="D281" s="6"/>
      <c r="E281" s="6"/>
      <c r="F281" s="6"/>
    </row>
    <row r="282" spans="1:6" ht="15.75" thickBot="1">
      <c r="A282" s="6"/>
      <c r="B282" s="6"/>
      <c r="C282" s="6"/>
      <c r="D282" s="6"/>
      <c r="E282" s="6"/>
      <c r="F282" s="6"/>
    </row>
    <row r="283" spans="1:6" ht="15.75" thickBot="1">
      <c r="A283" s="6"/>
      <c r="B283" s="6"/>
      <c r="C283" s="6"/>
      <c r="D283" s="6"/>
      <c r="E283" s="6"/>
      <c r="F283" s="6"/>
    </row>
    <row r="284" spans="1:6" ht="15.75" thickBot="1">
      <c r="A284" s="6"/>
      <c r="B284" s="6"/>
      <c r="C284" s="6"/>
      <c r="D284" s="6"/>
      <c r="E284" s="6"/>
      <c r="F284" s="6"/>
    </row>
    <row r="285" spans="1:6" ht="15.75" thickBot="1">
      <c r="A285" s="6"/>
      <c r="B285" s="6"/>
      <c r="C285" s="6"/>
      <c r="D285" s="6"/>
      <c r="E285" s="6"/>
      <c r="F285" s="6"/>
    </row>
    <row r="286" spans="1:6" ht="15.75" thickBot="1">
      <c r="A286" s="6"/>
      <c r="B286" s="6"/>
      <c r="C286" s="6"/>
      <c r="D286" s="6"/>
      <c r="E286" s="6"/>
      <c r="F286" s="6"/>
    </row>
    <row r="287" spans="1:6" ht="15.75" thickBot="1">
      <c r="A287" s="6"/>
      <c r="B287" s="6"/>
      <c r="C287" s="6"/>
      <c r="D287" s="6"/>
      <c r="E287" s="6"/>
      <c r="F287" s="6"/>
    </row>
    <row r="288" spans="1:6" ht="15.75" thickBot="1">
      <c r="A288" s="6"/>
      <c r="B288" s="6"/>
      <c r="C288" s="6"/>
      <c r="D288" s="6"/>
      <c r="E288" s="6"/>
      <c r="F288" s="6"/>
    </row>
    <row r="289" spans="1:6" ht="15.75" thickBot="1">
      <c r="A289" s="6"/>
      <c r="B289" s="6"/>
      <c r="C289" s="6"/>
      <c r="D289" s="6"/>
      <c r="E289" s="6"/>
      <c r="F289" s="6"/>
    </row>
    <row r="290" spans="1:6" ht="15.75" thickBot="1">
      <c r="A290" s="6"/>
      <c r="B290" s="6"/>
      <c r="C290" s="6"/>
      <c r="D290" s="6"/>
      <c r="E290" s="6"/>
      <c r="F290" s="6"/>
    </row>
    <row r="291" spans="1:6" ht="15.75" thickBot="1">
      <c r="A291" s="6"/>
      <c r="B291" s="6"/>
      <c r="C291" s="6"/>
      <c r="D291" s="6"/>
      <c r="E291" s="6"/>
      <c r="F291" s="6"/>
    </row>
    <row r="292" spans="1:6" ht="15.75" thickBot="1">
      <c r="A292" s="6"/>
      <c r="B292" s="6"/>
      <c r="C292" s="6"/>
      <c r="D292" s="6"/>
      <c r="E292" s="6"/>
      <c r="F292" s="6"/>
    </row>
    <row r="293" spans="1:6" ht="15.75" thickBot="1">
      <c r="A293" s="6"/>
      <c r="B293" s="6"/>
      <c r="C293" s="6"/>
      <c r="D293" s="6"/>
      <c r="E293" s="6"/>
      <c r="F293" s="6"/>
    </row>
    <row r="294" spans="1:6" ht="15.75" thickBot="1">
      <c r="A294" s="6"/>
      <c r="B294" s="6"/>
      <c r="C294" s="6"/>
      <c r="D294" s="6"/>
      <c r="E294" s="6"/>
      <c r="F294" s="6"/>
    </row>
    <row r="295" spans="1:6" ht="15.75" thickBot="1">
      <c r="A295" s="6"/>
      <c r="B295" s="6"/>
      <c r="C295" s="6"/>
      <c r="D295" s="6"/>
      <c r="E295" s="6"/>
      <c r="F295" s="6"/>
    </row>
    <row r="296" spans="1:6" ht="15.75" thickBot="1">
      <c r="A296" s="6"/>
      <c r="B296" s="6"/>
      <c r="C296" s="6"/>
      <c r="D296" s="6"/>
      <c r="E296" s="6"/>
      <c r="F296" s="6"/>
    </row>
    <row r="297" spans="1:6" ht="15.75" thickBot="1">
      <c r="A297" s="6"/>
      <c r="B297" s="6"/>
      <c r="C297" s="6"/>
      <c r="D297" s="6"/>
      <c r="E297" s="6"/>
      <c r="F297" s="6"/>
    </row>
    <row r="298" spans="1:6" ht="15.75" thickBot="1">
      <c r="A298" s="6"/>
      <c r="B298" s="6"/>
      <c r="C298" s="6"/>
      <c r="D298" s="6"/>
      <c r="E298" s="6"/>
      <c r="F298" s="6"/>
    </row>
    <row r="299" spans="1:6" ht="15.75" thickBot="1">
      <c r="A299" s="6"/>
      <c r="B299" s="6"/>
      <c r="C299" s="6"/>
      <c r="D299" s="6"/>
      <c r="E299" s="6"/>
      <c r="F299" s="6"/>
    </row>
    <row r="300" spans="1:6" ht="15.75" thickBot="1">
      <c r="A300" s="6"/>
      <c r="B300" s="6"/>
      <c r="C300" s="6"/>
      <c r="D300" s="6"/>
      <c r="E300" s="6"/>
      <c r="F300" s="6"/>
    </row>
    <row r="301" spans="1:6" ht="15.75" thickBot="1">
      <c r="A301" s="6"/>
      <c r="B301" s="6"/>
      <c r="C301" s="6"/>
      <c r="D301" s="6"/>
      <c r="E301" s="6"/>
      <c r="F301" s="6"/>
    </row>
    <row r="302" spans="1:6" ht="15.75" thickBot="1">
      <c r="A302" s="6"/>
      <c r="B302" s="6"/>
      <c r="C302" s="6"/>
      <c r="D302" s="6"/>
      <c r="E302" s="6"/>
      <c r="F302" s="6"/>
    </row>
    <row r="303" spans="1:6" ht="15.75" thickBot="1">
      <c r="A303" s="6"/>
      <c r="B303" s="6"/>
      <c r="C303" s="6"/>
      <c r="D303" s="6"/>
      <c r="E303" s="6"/>
      <c r="F303" s="6"/>
    </row>
    <row r="304" spans="1:6" ht="15.75" thickBot="1">
      <c r="A304" s="6"/>
      <c r="B304" s="6"/>
      <c r="C304" s="6"/>
      <c r="D304" s="6"/>
      <c r="E304" s="6"/>
      <c r="F304" s="6"/>
    </row>
    <row r="305" spans="1:6" ht="15.75" thickBot="1">
      <c r="A305" s="6"/>
      <c r="B305" s="6"/>
      <c r="C305" s="6"/>
      <c r="D305" s="6"/>
      <c r="E305" s="6"/>
      <c r="F305" s="6"/>
    </row>
    <row r="306" spans="1:6" ht="15.75" thickBot="1">
      <c r="A306" s="6"/>
      <c r="B306" s="6"/>
      <c r="C306" s="6"/>
      <c r="D306" s="6"/>
      <c r="E306" s="6"/>
      <c r="F306" s="6"/>
    </row>
    <row r="307" spans="1:6" ht="15.75" thickBot="1">
      <c r="A307" s="6"/>
      <c r="B307" s="6"/>
      <c r="C307" s="6"/>
      <c r="D307" s="6"/>
      <c r="E307" s="6"/>
      <c r="F307" s="6"/>
    </row>
    <row r="308" spans="1:6" ht="15.75" thickBot="1">
      <c r="A308" s="6"/>
      <c r="B308" s="6"/>
      <c r="C308" s="6"/>
      <c r="D308" s="6"/>
      <c r="E308" s="6"/>
      <c r="F308" s="6"/>
    </row>
    <row r="309" spans="1:6" ht="15.75" thickBot="1">
      <c r="A309" s="6"/>
      <c r="B309" s="6"/>
      <c r="C309" s="6"/>
      <c r="D309" s="6"/>
      <c r="E309" s="6"/>
      <c r="F309" s="6"/>
    </row>
    <row r="310" spans="1:6" ht="15.75" thickBot="1">
      <c r="A310" s="6"/>
      <c r="B310" s="6"/>
      <c r="C310" s="6"/>
      <c r="D310" s="6"/>
      <c r="E310" s="6"/>
      <c r="F310" s="6"/>
    </row>
    <row r="311" spans="1:6" ht="15.75" thickBot="1">
      <c r="A311" s="6"/>
      <c r="B311" s="6"/>
      <c r="C311" s="6"/>
      <c r="D311" s="6"/>
      <c r="E311" s="6"/>
      <c r="F311" s="6"/>
    </row>
    <row r="312" spans="1:6" ht="15.75" thickBot="1">
      <c r="A312" s="6"/>
      <c r="B312" s="6"/>
      <c r="C312" s="6"/>
      <c r="D312" s="6"/>
      <c r="E312" s="6"/>
      <c r="F312" s="6"/>
    </row>
    <row r="313" spans="1:6" ht="15.75" thickBot="1">
      <c r="A313" s="6"/>
      <c r="B313" s="6"/>
      <c r="C313" s="6"/>
      <c r="D313" s="6"/>
      <c r="E313" s="6"/>
      <c r="F313" s="6"/>
    </row>
    <row r="314" spans="1:6" ht="15.75" thickBot="1">
      <c r="A314" s="6"/>
      <c r="B314" s="6"/>
      <c r="C314" s="6"/>
      <c r="D314" s="6"/>
      <c r="E314" s="6"/>
      <c r="F314" s="6"/>
    </row>
    <row r="315" spans="1:6" ht="15.75" thickBot="1">
      <c r="A315" s="6"/>
      <c r="B315" s="6"/>
      <c r="C315" s="6"/>
      <c r="D315" s="6"/>
      <c r="E315" s="6"/>
      <c r="F315" s="6"/>
    </row>
    <row r="316" spans="1:6" ht="15.75" thickBot="1">
      <c r="A316" s="6"/>
      <c r="B316" s="6"/>
      <c r="C316" s="6"/>
      <c r="D316" s="6"/>
      <c r="E316" s="6"/>
      <c r="F316" s="6"/>
    </row>
    <row r="317" spans="1:6" ht="15.75" thickBot="1">
      <c r="A317" s="6"/>
      <c r="B317" s="6"/>
      <c r="C317" s="6"/>
      <c r="D317" s="6"/>
      <c r="E317" s="6"/>
      <c r="F317" s="6"/>
    </row>
    <row r="318" spans="1:6" ht="15.75" thickBot="1">
      <c r="A318" s="6"/>
      <c r="B318" s="6"/>
      <c r="C318" s="6"/>
      <c r="D318" s="6"/>
      <c r="E318" s="6"/>
      <c r="F318" s="6"/>
    </row>
    <row r="319" spans="1:6" ht="15.75" thickBot="1">
      <c r="A319" s="6"/>
      <c r="B319" s="6"/>
      <c r="C319" s="6"/>
      <c r="D319" s="6"/>
      <c r="E319" s="6"/>
      <c r="F319" s="6"/>
    </row>
    <row r="320" spans="1:6" ht="15.75" thickBot="1">
      <c r="A320" s="6"/>
      <c r="B320" s="6"/>
      <c r="C320" s="6"/>
      <c r="D320" s="6"/>
      <c r="E320" s="6"/>
      <c r="F320" s="6"/>
    </row>
    <row r="321" spans="1:6" ht="15.75" thickBot="1">
      <c r="A321" s="6"/>
      <c r="B321" s="6"/>
      <c r="C321" s="6"/>
      <c r="D321" s="6"/>
      <c r="E321" s="6"/>
      <c r="F321" s="6"/>
    </row>
    <row r="322" spans="1:6" ht="15.75" thickBot="1">
      <c r="A322" s="6"/>
      <c r="B322" s="6"/>
      <c r="C322" s="6"/>
      <c r="D322" s="6"/>
      <c r="E322" s="6"/>
      <c r="F322" s="6"/>
    </row>
    <row r="323" spans="1:6" ht="15.75" thickBot="1">
      <c r="A323" s="6"/>
      <c r="B323" s="6"/>
      <c r="C323" s="6"/>
      <c r="D323" s="6"/>
      <c r="E323" s="6"/>
      <c r="F323" s="6"/>
    </row>
    <row r="324" spans="1:6" ht="15.75" thickBot="1">
      <c r="A324" s="6"/>
      <c r="B324" s="6"/>
      <c r="C324" s="6"/>
      <c r="D324" s="6"/>
      <c r="E324" s="6"/>
      <c r="F324" s="6"/>
    </row>
    <row r="325" spans="1:6" ht="15.75" thickBot="1">
      <c r="A325" s="6"/>
      <c r="B325" s="6"/>
      <c r="C325" s="6"/>
      <c r="D325" s="6"/>
      <c r="E325" s="6"/>
      <c r="F325" s="6"/>
    </row>
    <row r="326" spans="1:6" ht="15.75" thickBot="1">
      <c r="A326" s="6"/>
      <c r="B326" s="6"/>
      <c r="C326" s="6"/>
      <c r="D326" s="6"/>
      <c r="E326" s="6"/>
      <c r="F326" s="6"/>
    </row>
    <row r="327" spans="1:6" ht="15.75" thickBot="1">
      <c r="A327" s="6"/>
      <c r="B327" s="6"/>
      <c r="C327" s="6"/>
      <c r="D327" s="6"/>
      <c r="E327" s="6"/>
      <c r="F327" s="6"/>
    </row>
    <row r="328" spans="1:6" ht="15.75" thickBot="1">
      <c r="A328" s="6"/>
      <c r="B328" s="6"/>
      <c r="C328" s="6"/>
      <c r="D328" s="6"/>
      <c r="E328" s="6"/>
      <c r="F328" s="6"/>
    </row>
    <row r="329" spans="1:6" ht="15.75" thickBot="1">
      <c r="A329" s="6"/>
      <c r="B329" s="6"/>
      <c r="C329" s="6"/>
      <c r="D329" s="6"/>
      <c r="E329" s="6"/>
      <c r="F329" s="6"/>
    </row>
    <row r="330" spans="1:6" ht="15.75" thickBot="1">
      <c r="A330" s="6"/>
      <c r="B330" s="6"/>
      <c r="C330" s="6"/>
      <c r="D330" s="6"/>
      <c r="E330" s="6"/>
      <c r="F330" s="6"/>
    </row>
    <row r="331" spans="1:6" ht="15.75" thickBot="1">
      <c r="A331" s="6"/>
      <c r="B331" s="6"/>
      <c r="C331" s="6"/>
      <c r="D331" s="6"/>
      <c r="E331" s="6"/>
      <c r="F331" s="6"/>
    </row>
    <row r="332" spans="1:6" ht="15.75" thickBot="1">
      <c r="A332" s="6"/>
      <c r="B332" s="6"/>
      <c r="C332" s="6"/>
      <c r="D332" s="6"/>
      <c r="E332" s="6"/>
      <c r="F332" s="6"/>
    </row>
    <row r="333" spans="1:6" ht="15.75" thickBot="1">
      <c r="A333" s="6"/>
      <c r="B333" s="6"/>
      <c r="C333" s="6"/>
      <c r="D333" s="6"/>
      <c r="E333" s="6"/>
      <c r="F333" s="6"/>
    </row>
    <row r="334" spans="1:6" ht="15.75" thickBot="1">
      <c r="A334" s="6"/>
      <c r="B334" s="6"/>
      <c r="C334" s="6"/>
      <c r="D334" s="6"/>
      <c r="E334" s="6"/>
      <c r="F334" s="6"/>
    </row>
    <row r="335" spans="1:6" ht="15.75" thickBot="1">
      <c r="A335" s="6"/>
      <c r="B335" s="6"/>
      <c r="C335" s="6"/>
      <c r="D335" s="6"/>
      <c r="E335" s="6"/>
      <c r="F335" s="6"/>
    </row>
    <row r="336" spans="1:6" ht="15.75" thickBot="1">
      <c r="A336" s="6"/>
      <c r="B336" s="6"/>
      <c r="C336" s="6"/>
      <c r="D336" s="6"/>
      <c r="E336" s="6"/>
      <c r="F336" s="6"/>
    </row>
    <row r="337" spans="1:6" ht="15.75" thickBot="1">
      <c r="A337" s="6"/>
      <c r="B337" s="6"/>
      <c r="C337" s="6"/>
      <c r="D337" s="6"/>
      <c r="E337" s="6"/>
      <c r="F337" s="6"/>
    </row>
    <row r="338" spans="1:6" ht="15.75" thickBot="1">
      <c r="A338" s="6"/>
      <c r="B338" s="6"/>
      <c r="C338" s="6"/>
      <c r="D338" s="6"/>
      <c r="E338" s="6"/>
      <c r="F338" s="6"/>
    </row>
    <row r="339" spans="1:6" ht="15.75" thickBot="1">
      <c r="A339" s="6"/>
      <c r="B339" s="6"/>
      <c r="C339" s="6"/>
      <c r="D339" s="6"/>
      <c r="E339" s="6"/>
      <c r="F339" s="6"/>
    </row>
    <row r="340" spans="1:6" ht="15.75" thickBot="1">
      <c r="A340" s="6"/>
      <c r="B340" s="6"/>
      <c r="C340" s="6"/>
      <c r="D340" s="6"/>
      <c r="E340" s="6"/>
      <c r="F340" s="6"/>
    </row>
    <row r="341" spans="1:6" ht="15.75" thickBot="1">
      <c r="A341" s="6"/>
      <c r="B341" s="6"/>
      <c r="C341" s="6"/>
      <c r="D341" s="6"/>
      <c r="E341" s="6"/>
      <c r="F341" s="6"/>
    </row>
    <row r="342" spans="1:6" ht="15.75" thickBot="1">
      <c r="A342" s="6"/>
      <c r="B342" s="6"/>
      <c r="C342" s="6"/>
      <c r="D342" s="6"/>
      <c r="E342" s="6"/>
      <c r="F342" s="6"/>
    </row>
    <row r="343" spans="1:6" ht="15.75" thickBot="1">
      <c r="A343" s="6"/>
      <c r="B343" s="6"/>
      <c r="C343" s="6"/>
      <c r="D343" s="6"/>
      <c r="E343" s="6"/>
      <c r="F343" s="6"/>
    </row>
    <row r="344" spans="1:6" ht="15.75" thickBot="1">
      <c r="A344" s="6"/>
      <c r="B344" s="6"/>
      <c r="C344" s="6"/>
      <c r="D344" s="6"/>
      <c r="E344" s="6"/>
      <c r="F344" s="6"/>
    </row>
    <row r="345" spans="1:6" ht="15.75" thickBot="1">
      <c r="A345" s="6"/>
      <c r="B345" s="6"/>
      <c r="C345" s="6"/>
      <c r="D345" s="6"/>
      <c r="E345" s="6"/>
      <c r="F345" s="6"/>
    </row>
    <row r="346" spans="1:6" ht="15.75" thickBot="1">
      <c r="A346" s="6"/>
      <c r="B346" s="6"/>
      <c r="C346" s="6"/>
      <c r="D346" s="6"/>
      <c r="E346" s="6"/>
      <c r="F346" s="6"/>
    </row>
    <row r="347" spans="1:6" ht="15.75" thickBot="1">
      <c r="A347" s="6"/>
      <c r="B347" s="6"/>
      <c r="C347" s="6"/>
      <c r="D347" s="6"/>
      <c r="E347" s="6"/>
      <c r="F347" s="6"/>
    </row>
    <row r="348" spans="1:6" ht="15.75" thickBot="1">
      <c r="A348" s="6"/>
      <c r="B348" s="6"/>
      <c r="C348" s="6"/>
      <c r="D348" s="6"/>
      <c r="E348" s="6"/>
      <c r="F348" s="6"/>
    </row>
    <row r="349" spans="1:6" ht="15.75" thickBot="1">
      <c r="A349" s="6"/>
      <c r="B349" s="6"/>
      <c r="C349" s="6"/>
      <c r="D349" s="6"/>
      <c r="E349" s="6"/>
      <c r="F349" s="6"/>
    </row>
    <row r="350" spans="1:6" ht="15.75" thickBot="1">
      <c r="A350" s="6"/>
      <c r="B350" s="6"/>
      <c r="C350" s="6"/>
      <c r="D350" s="6"/>
      <c r="E350" s="6"/>
      <c r="F350" s="6"/>
    </row>
    <row r="351" spans="1:6" ht="15.75" thickBot="1">
      <c r="A351" s="6"/>
      <c r="B351" s="6"/>
      <c r="C351" s="6"/>
      <c r="D351" s="6"/>
      <c r="E351" s="6"/>
      <c r="F351" s="6"/>
    </row>
    <row r="352" spans="1:6" ht="15.75" thickBot="1">
      <c r="A352" s="6"/>
      <c r="B352" s="6"/>
      <c r="C352" s="6"/>
      <c r="D352" s="6"/>
      <c r="E352" s="6"/>
      <c r="F352" s="6"/>
    </row>
    <row r="353" spans="1:6" ht="15.75" thickBot="1">
      <c r="A353" s="6"/>
      <c r="B353" s="6"/>
      <c r="C353" s="6"/>
      <c r="D353" s="6"/>
      <c r="E353" s="6"/>
      <c r="F353" s="6"/>
    </row>
    <row r="354" spans="1:6" ht="15.75" thickBot="1">
      <c r="A354" s="6"/>
      <c r="B354" s="6"/>
      <c r="C354" s="6"/>
      <c r="D354" s="6"/>
      <c r="E354" s="6"/>
      <c r="F354" s="6"/>
    </row>
    <row r="355" spans="1:6" ht="15.75" thickBot="1">
      <c r="A355" s="6"/>
      <c r="B355" s="6"/>
      <c r="C355" s="6"/>
      <c r="D355" s="6"/>
      <c r="E355" s="6"/>
      <c r="F355" s="6"/>
    </row>
    <row r="356" spans="1:6" ht="15.75" thickBot="1">
      <c r="A356" s="6"/>
      <c r="B356" s="6"/>
      <c r="C356" s="6"/>
      <c r="D356" s="6"/>
      <c r="E356" s="6"/>
      <c r="F356" s="6"/>
    </row>
    <row r="357" spans="1:6" ht="15.75" thickBot="1">
      <c r="A357" s="6"/>
      <c r="B357" s="6"/>
      <c r="C357" s="6"/>
      <c r="D357" s="6"/>
      <c r="E357" s="6"/>
      <c r="F357" s="6"/>
    </row>
    <row r="358" spans="1:6" ht="15.75" thickBot="1">
      <c r="A358" s="6"/>
      <c r="B358" s="6"/>
      <c r="C358" s="6"/>
      <c r="D358" s="6"/>
      <c r="E358" s="6"/>
      <c r="F358" s="6"/>
    </row>
    <row r="359" spans="1:6" ht="15.75" thickBot="1">
      <c r="A359" s="6"/>
      <c r="B359" s="6"/>
      <c r="C359" s="6"/>
      <c r="D359" s="6"/>
      <c r="E359" s="6"/>
      <c r="F359" s="6"/>
    </row>
    <row r="360" spans="1:6" ht="15.75" thickBot="1">
      <c r="A360" s="6"/>
      <c r="B360" s="6"/>
      <c r="C360" s="6"/>
      <c r="D360" s="6"/>
      <c r="E360" s="6"/>
      <c r="F360" s="6"/>
    </row>
    <row r="361" spans="1:6" ht="15.75" thickBot="1">
      <c r="A361" s="6"/>
      <c r="B361" s="6"/>
      <c r="C361" s="6"/>
      <c r="D361" s="6"/>
      <c r="E361" s="6"/>
      <c r="F361" s="6"/>
    </row>
    <row r="362" spans="1:6" ht="15.75" thickBot="1">
      <c r="A362" s="6"/>
      <c r="B362" s="6"/>
      <c r="C362" s="6"/>
      <c r="D362" s="6"/>
      <c r="E362" s="6"/>
      <c r="F362" s="6"/>
    </row>
    <row r="363" spans="1:6" ht="15.75" thickBot="1">
      <c r="A363" s="6"/>
      <c r="B363" s="6"/>
      <c r="C363" s="6"/>
      <c r="D363" s="6"/>
      <c r="E363" s="6"/>
      <c r="F363" s="6"/>
    </row>
    <row r="364" spans="1:6" ht="15.75" thickBot="1">
      <c r="A364" s="6"/>
      <c r="B364" s="6"/>
      <c r="C364" s="6"/>
      <c r="D364" s="6"/>
      <c r="E364" s="6"/>
      <c r="F364" s="6"/>
    </row>
    <row r="365" spans="1:6" ht="15.75" thickBot="1">
      <c r="A365" s="6"/>
      <c r="B365" s="6"/>
      <c r="C365" s="6"/>
      <c r="D365" s="6"/>
      <c r="E365" s="6"/>
      <c r="F365" s="6"/>
    </row>
    <row r="366" spans="1:6" ht="15.75" thickBot="1">
      <c r="A366" s="6"/>
      <c r="B366" s="6"/>
      <c r="C366" s="6"/>
      <c r="D366" s="6"/>
      <c r="E366" s="6"/>
      <c r="F366" s="6"/>
    </row>
    <row r="367" spans="1:6" ht="15.75" thickBot="1">
      <c r="A367" s="6"/>
      <c r="B367" s="6"/>
      <c r="C367" s="6"/>
      <c r="D367" s="6"/>
      <c r="E367" s="6"/>
      <c r="F367" s="6"/>
    </row>
    <row r="368" spans="1:6" ht="15.75" thickBot="1">
      <c r="A368" s="6"/>
      <c r="B368" s="6"/>
      <c r="C368" s="6"/>
      <c r="D368" s="6"/>
      <c r="E368" s="6"/>
      <c r="F368" s="6"/>
    </row>
    <row r="369" spans="1:6" ht="15.75" thickBot="1">
      <c r="A369" s="6"/>
      <c r="B369" s="6"/>
      <c r="C369" s="6"/>
      <c r="D369" s="6"/>
      <c r="E369" s="6"/>
      <c r="F369" s="6"/>
    </row>
    <row r="370" spans="1:6" ht="15.75" thickBot="1">
      <c r="A370" s="6"/>
      <c r="B370" s="6"/>
      <c r="C370" s="6"/>
      <c r="D370" s="6"/>
      <c r="E370" s="6"/>
      <c r="F370" s="6"/>
    </row>
    <row r="371" spans="1:6" ht="15.75" thickBot="1">
      <c r="A371" s="6"/>
      <c r="B371" s="6"/>
      <c r="C371" s="6"/>
      <c r="D371" s="6"/>
      <c r="E371" s="6"/>
      <c r="F371" s="6"/>
    </row>
    <row r="372" spans="1:6" ht="15.75" thickBot="1">
      <c r="A372" s="6"/>
      <c r="B372" s="6"/>
      <c r="C372" s="6"/>
      <c r="D372" s="6"/>
      <c r="E372" s="6"/>
      <c r="F372" s="6"/>
    </row>
    <row r="373" spans="1:6" ht="15.75" thickBot="1">
      <c r="A373" s="6"/>
      <c r="B373" s="6"/>
      <c r="C373" s="6"/>
      <c r="D373" s="6"/>
      <c r="E373" s="6"/>
      <c r="F373" s="6"/>
    </row>
    <row r="374" spans="1:6" ht="15.75" thickBot="1">
      <c r="A374" s="6"/>
      <c r="B374" s="6"/>
      <c r="C374" s="6"/>
      <c r="D374" s="6"/>
      <c r="E374" s="6"/>
      <c r="F374" s="6"/>
    </row>
    <row r="375" spans="1:6" ht="15.75" thickBot="1">
      <c r="A375" s="6"/>
      <c r="B375" s="6"/>
      <c r="C375" s="6"/>
      <c r="D375" s="6"/>
      <c r="E375" s="6"/>
      <c r="F375" s="6"/>
    </row>
    <row r="376" spans="1:6" ht="15.75" thickBot="1">
      <c r="A376" s="6"/>
      <c r="B376" s="6"/>
      <c r="C376" s="6"/>
      <c r="D376" s="6"/>
      <c r="E376" s="6"/>
      <c r="F376" s="6"/>
    </row>
    <row r="377" spans="1:6" ht="15.75" thickBot="1">
      <c r="A377" s="6"/>
      <c r="B377" s="6"/>
      <c r="C377" s="6"/>
      <c r="D377" s="6"/>
      <c r="E377" s="6"/>
      <c r="F377" s="6"/>
    </row>
    <row r="378" spans="1:6" ht="15.75" thickBot="1">
      <c r="A378" s="6"/>
      <c r="B378" s="6"/>
      <c r="C378" s="6"/>
      <c r="D378" s="6"/>
      <c r="E378" s="6"/>
      <c r="F378" s="6"/>
    </row>
    <row r="379" spans="1:6" ht="15.75" thickBot="1">
      <c r="A379" s="6"/>
      <c r="B379" s="6"/>
      <c r="C379" s="6"/>
      <c r="D379" s="6"/>
      <c r="E379" s="6"/>
      <c r="F379" s="6"/>
    </row>
    <row r="380" spans="1:6" ht="15.75" thickBot="1">
      <c r="A380" s="6"/>
      <c r="B380" s="6"/>
      <c r="C380" s="6"/>
      <c r="D380" s="6"/>
      <c r="E380" s="6"/>
      <c r="F380" s="6"/>
    </row>
    <row r="381" spans="1:6" ht="15.75" thickBot="1">
      <c r="A381" s="6"/>
      <c r="B381" s="6"/>
      <c r="C381" s="6"/>
      <c r="D381" s="6"/>
      <c r="E381" s="6"/>
      <c r="F381" s="6"/>
    </row>
    <row r="382" spans="1:6" ht="15.75" thickBot="1">
      <c r="A382" s="6"/>
      <c r="B382" s="6"/>
      <c r="C382" s="6"/>
      <c r="D382" s="6"/>
      <c r="E382" s="6"/>
      <c r="F382" s="6"/>
    </row>
    <row r="383" spans="1:6" ht="15.75" thickBot="1">
      <c r="A383" s="6"/>
      <c r="B383" s="6"/>
      <c r="C383" s="6"/>
      <c r="D383" s="6"/>
      <c r="E383" s="6"/>
      <c r="F383" s="6"/>
    </row>
    <row r="384" spans="1:6" ht="15.75" thickBot="1">
      <c r="A384" s="6"/>
      <c r="B384" s="6"/>
      <c r="C384" s="6"/>
      <c r="D384" s="6"/>
      <c r="E384" s="6"/>
      <c r="F384" s="6"/>
    </row>
    <row r="385" spans="1:6" ht="15.75" thickBot="1">
      <c r="A385" s="6"/>
      <c r="B385" s="6"/>
      <c r="C385" s="6"/>
      <c r="D385" s="6"/>
      <c r="E385" s="6"/>
      <c r="F385" s="6"/>
    </row>
    <row r="386" spans="1:6" ht="15.75" thickBot="1">
      <c r="A386" s="6"/>
      <c r="B386" s="6"/>
      <c r="C386" s="6"/>
      <c r="D386" s="6"/>
      <c r="E386" s="6"/>
      <c r="F386" s="6"/>
    </row>
    <row r="387" spans="1:6" ht="15.75" thickBot="1">
      <c r="A387" s="6"/>
      <c r="B387" s="6"/>
      <c r="C387" s="6"/>
      <c r="D387" s="6"/>
      <c r="E387" s="6"/>
      <c r="F387" s="6"/>
    </row>
    <row r="388" spans="1:6" ht="15.75" thickBot="1">
      <c r="A388" s="6"/>
      <c r="B388" s="6"/>
      <c r="C388" s="6"/>
      <c r="D388" s="6"/>
      <c r="E388" s="6"/>
      <c r="F388" s="6"/>
    </row>
    <row r="389" spans="1:6" ht="15.75" thickBot="1">
      <c r="A389" s="6"/>
      <c r="B389" s="6"/>
      <c r="C389" s="6"/>
      <c r="D389" s="6"/>
      <c r="E389" s="6"/>
      <c r="F389" s="6"/>
    </row>
    <row r="390" spans="1:6" ht="15.75" thickBot="1">
      <c r="A390" s="6"/>
      <c r="B390" s="6"/>
      <c r="C390" s="6"/>
      <c r="D390" s="6"/>
      <c r="E390" s="6"/>
      <c r="F390" s="6"/>
    </row>
    <row r="391" spans="1:6" ht="15.75" thickBot="1">
      <c r="A391" s="6"/>
      <c r="B391" s="6"/>
      <c r="C391" s="6"/>
      <c r="D391" s="6"/>
      <c r="E391" s="6"/>
      <c r="F391" s="6"/>
    </row>
    <row r="392" spans="1:6" ht="15.75" thickBot="1">
      <c r="A392" s="6"/>
      <c r="B392" s="6"/>
      <c r="C392" s="6"/>
      <c r="D392" s="6"/>
      <c r="E392" s="6"/>
      <c r="F392" s="6"/>
    </row>
    <row r="393" spans="1:6" ht="15.75" thickBot="1">
      <c r="A393" s="6"/>
      <c r="B393" s="6"/>
      <c r="C393" s="6"/>
      <c r="D393" s="6"/>
      <c r="E393" s="6"/>
      <c r="F393" s="6"/>
    </row>
    <row r="394" spans="1:6" ht="15.75" thickBot="1">
      <c r="A394" s="6"/>
      <c r="B394" s="6"/>
      <c r="C394" s="6"/>
      <c r="D394" s="6"/>
      <c r="E394" s="6"/>
      <c r="F394" s="6"/>
    </row>
    <row r="395" spans="1:6" ht="15.75" thickBot="1">
      <c r="A395" s="6"/>
      <c r="B395" s="6"/>
      <c r="C395" s="6"/>
      <c r="D395" s="6"/>
      <c r="E395" s="6"/>
      <c r="F395" s="6"/>
    </row>
    <row r="396" spans="1:6" ht="15.75" thickBot="1">
      <c r="A396" s="6"/>
      <c r="B396" s="6"/>
      <c r="C396" s="6"/>
      <c r="D396" s="6"/>
      <c r="E396" s="6"/>
      <c r="F396" s="6"/>
    </row>
    <row r="397" spans="1:6" ht="15.75" thickBot="1">
      <c r="A397" s="6"/>
      <c r="B397" s="6"/>
      <c r="C397" s="6"/>
      <c r="D397" s="6"/>
      <c r="E397" s="6"/>
      <c r="F397" s="6"/>
    </row>
    <row r="398" spans="1:6" ht="15.75" thickBot="1">
      <c r="A398" s="6"/>
      <c r="B398" s="6"/>
      <c r="C398" s="6"/>
      <c r="D398" s="6"/>
      <c r="E398" s="6"/>
      <c r="F398" s="6"/>
    </row>
    <row r="399" spans="1:6" ht="15.75" thickBot="1">
      <c r="A399" s="6"/>
      <c r="B399" s="6"/>
      <c r="C399" s="6"/>
      <c r="D399" s="6"/>
      <c r="E399" s="6"/>
      <c r="F399" s="6"/>
    </row>
    <row r="400" spans="1:6" ht="15.75" thickBot="1">
      <c r="A400" s="6"/>
      <c r="B400" s="6"/>
      <c r="C400" s="6"/>
      <c r="D400" s="6"/>
      <c r="E400" s="6"/>
      <c r="F400" s="6"/>
    </row>
    <row r="401" spans="1:6" ht="15.75" thickBot="1">
      <c r="A401" s="6"/>
      <c r="B401" s="6"/>
      <c r="C401" s="6"/>
      <c r="D401" s="6"/>
      <c r="E401" s="6"/>
      <c r="F401" s="6"/>
    </row>
    <row r="402" spans="1:6" ht="15.75" thickBot="1">
      <c r="A402" s="6"/>
      <c r="B402" s="6"/>
      <c r="C402" s="6"/>
      <c r="D402" s="6"/>
      <c r="E402" s="6"/>
      <c r="F402" s="6"/>
    </row>
    <row r="403" spans="1:6" ht="15.75" thickBot="1">
      <c r="A403" s="6"/>
      <c r="B403" s="6"/>
      <c r="C403" s="6"/>
      <c r="D403" s="6"/>
      <c r="E403" s="6"/>
      <c r="F403" s="6"/>
    </row>
    <row r="404" spans="1:6" ht="15.75" thickBot="1">
      <c r="A404" s="6"/>
      <c r="B404" s="6"/>
      <c r="C404" s="6"/>
      <c r="D404" s="6"/>
      <c r="E404" s="6"/>
      <c r="F404" s="6"/>
    </row>
    <row r="405" spans="1:6" ht="15.75" thickBot="1">
      <c r="A405" s="6"/>
      <c r="B405" s="6"/>
      <c r="C405" s="6"/>
      <c r="D405" s="6"/>
      <c r="E405" s="6"/>
      <c r="F405" s="6"/>
    </row>
    <row r="406" spans="1:6" ht="15.75" thickBot="1">
      <c r="A406" s="6"/>
      <c r="B406" s="6"/>
      <c r="C406" s="6"/>
      <c r="D406" s="6"/>
      <c r="E406" s="6"/>
      <c r="F406" s="6"/>
    </row>
    <row r="407" spans="1:6" ht="15.75" thickBot="1">
      <c r="A407" s="6"/>
      <c r="B407" s="6"/>
      <c r="C407" s="6"/>
      <c r="D407" s="6"/>
      <c r="E407" s="6"/>
      <c r="F407" s="6"/>
    </row>
    <row r="408" spans="1:6" ht="15.75" thickBot="1">
      <c r="A408" s="6"/>
      <c r="B408" s="6"/>
      <c r="C408" s="6"/>
      <c r="D408" s="6"/>
      <c r="E408" s="6"/>
      <c r="F408" s="6"/>
    </row>
    <row r="409" spans="1:6" ht="15.75" thickBot="1">
      <c r="A409" s="6"/>
      <c r="B409" s="6"/>
      <c r="C409" s="6"/>
      <c r="D409" s="6"/>
      <c r="E409" s="6"/>
      <c r="F409" s="6"/>
    </row>
    <row r="410" spans="1:6" ht="15.75" thickBot="1">
      <c r="A410" s="6"/>
      <c r="B410" s="6"/>
      <c r="C410" s="6"/>
      <c r="D410" s="6"/>
      <c r="E410" s="6"/>
      <c r="F410" s="6"/>
    </row>
    <row r="411" spans="1:6" ht="15.75" thickBot="1">
      <c r="A411" s="6"/>
      <c r="B411" s="6"/>
      <c r="C411" s="6"/>
      <c r="D411" s="6"/>
      <c r="E411" s="6"/>
      <c r="F411" s="6"/>
    </row>
    <row r="412" spans="1:6" ht="15.75" thickBot="1">
      <c r="A412" s="6"/>
      <c r="B412" s="6"/>
      <c r="C412" s="6"/>
      <c r="D412" s="6"/>
      <c r="E412" s="6"/>
      <c r="F412" s="6"/>
    </row>
    <row r="413" spans="1:6" ht="15.75" thickBot="1">
      <c r="A413" s="6"/>
      <c r="B413" s="6"/>
      <c r="C413" s="6"/>
      <c r="D413" s="6"/>
      <c r="E413" s="6"/>
      <c r="F413" s="6"/>
    </row>
    <row r="414" spans="1:6" ht="15.75" thickBot="1">
      <c r="A414" s="6"/>
      <c r="B414" s="6"/>
      <c r="C414" s="6"/>
      <c r="D414" s="6"/>
      <c r="E414" s="6"/>
      <c r="F414" s="6"/>
    </row>
    <row r="415" spans="1:6" ht="15.75" thickBot="1">
      <c r="A415" s="6"/>
      <c r="B415" s="6"/>
      <c r="C415" s="6"/>
      <c r="D415" s="6"/>
      <c r="E415" s="6"/>
      <c r="F415" s="6"/>
    </row>
    <row r="416" spans="1:6" ht="15.75" thickBot="1">
      <c r="A416" s="6"/>
      <c r="B416" s="6"/>
      <c r="C416" s="6"/>
      <c r="D416" s="6"/>
      <c r="E416" s="6"/>
      <c r="F416" s="6"/>
    </row>
    <row r="417" spans="1:6" ht="15.75" thickBot="1">
      <c r="A417" s="6"/>
      <c r="B417" s="6"/>
      <c r="C417" s="6"/>
      <c r="D417" s="6"/>
      <c r="E417" s="6"/>
      <c r="F417" s="6"/>
    </row>
    <row r="418" spans="1:6" ht="15.75" thickBot="1">
      <c r="A418" s="6"/>
      <c r="B418" s="6"/>
      <c r="C418" s="6"/>
      <c r="D418" s="6"/>
      <c r="E418" s="6"/>
      <c r="F418" s="6"/>
    </row>
    <row r="419" spans="1:6" ht="15.75" thickBot="1">
      <c r="A419" s="6"/>
      <c r="B419" s="6"/>
      <c r="C419" s="6"/>
      <c r="D419" s="6"/>
      <c r="E419" s="6"/>
      <c r="F419" s="6"/>
    </row>
    <row r="420" spans="1:6" ht="15.75" thickBot="1">
      <c r="A420" s="6"/>
      <c r="B420" s="6"/>
      <c r="C420" s="6"/>
      <c r="D420" s="6"/>
      <c r="E420" s="6"/>
      <c r="F420" s="6"/>
    </row>
    <row r="421" spans="1:6" ht="15.75" thickBot="1">
      <c r="A421" s="6"/>
      <c r="B421" s="6"/>
      <c r="C421" s="6"/>
      <c r="D421" s="6"/>
      <c r="E421" s="6"/>
      <c r="F421" s="6"/>
    </row>
    <row r="422" spans="1:6" ht="15.75" thickBot="1">
      <c r="A422" s="6"/>
      <c r="B422" s="6"/>
      <c r="C422" s="6"/>
      <c r="D422" s="6"/>
      <c r="E422" s="6"/>
      <c r="F422" s="6"/>
    </row>
    <row r="423" spans="1:6" ht="15.75" thickBot="1">
      <c r="A423" s="6"/>
      <c r="B423" s="6"/>
      <c r="C423" s="6"/>
      <c r="D423" s="6"/>
      <c r="E423" s="6"/>
      <c r="F423" s="6"/>
    </row>
    <row r="424" spans="1:6" ht="15.75" thickBot="1">
      <c r="A424" s="6"/>
      <c r="B424" s="6"/>
      <c r="C424" s="6"/>
      <c r="D424" s="6"/>
      <c r="E424" s="6"/>
      <c r="F424" s="6"/>
    </row>
    <row r="425" spans="1:6" ht="15.75" thickBot="1">
      <c r="A425" s="6"/>
      <c r="B425" s="6"/>
      <c r="C425" s="6"/>
      <c r="D425" s="6"/>
      <c r="E425" s="6"/>
      <c r="F425" s="6"/>
    </row>
    <row r="426" spans="1:6" ht="15.75" thickBot="1">
      <c r="A426" s="6"/>
      <c r="B426" s="6"/>
      <c r="C426" s="6"/>
      <c r="D426" s="6"/>
      <c r="E426" s="6"/>
      <c r="F426" s="6"/>
    </row>
    <row r="427" spans="1:6" ht="15.75" thickBot="1">
      <c r="A427" s="6"/>
      <c r="B427" s="6"/>
      <c r="C427" s="6"/>
      <c r="D427" s="6"/>
      <c r="E427" s="6"/>
      <c r="F427" s="6"/>
    </row>
    <row r="428" spans="1:6" ht="15.75" thickBot="1">
      <c r="A428" s="6"/>
      <c r="B428" s="6"/>
      <c r="C428" s="6"/>
      <c r="D428" s="6"/>
      <c r="E428" s="6"/>
      <c r="F428" s="6"/>
    </row>
    <row r="429" spans="1:6" ht="15.75" thickBot="1">
      <c r="A429" s="6"/>
      <c r="B429" s="6"/>
      <c r="C429" s="6"/>
      <c r="D429" s="6"/>
      <c r="E429" s="6"/>
      <c r="F429" s="6"/>
    </row>
    <row r="430" spans="1:6" ht="15.75" thickBot="1">
      <c r="A430" s="6"/>
      <c r="B430" s="6"/>
      <c r="C430" s="6"/>
      <c r="D430" s="6"/>
      <c r="E430" s="6"/>
      <c r="F430" s="6"/>
    </row>
    <row r="431" spans="1:6" ht="15.75" thickBot="1">
      <c r="A431" s="6"/>
      <c r="B431" s="6"/>
      <c r="C431" s="6"/>
      <c r="D431" s="6"/>
      <c r="E431" s="6"/>
      <c r="F431" s="6"/>
    </row>
    <row r="432" spans="1:6" ht="15.75" thickBot="1">
      <c r="A432" s="6"/>
      <c r="B432" s="6"/>
      <c r="C432" s="6"/>
      <c r="D432" s="6"/>
      <c r="E432" s="6"/>
      <c r="F432" s="6"/>
    </row>
    <row r="433" spans="1:6" ht="15.75" thickBot="1">
      <c r="A433" s="6"/>
      <c r="B433" s="6"/>
      <c r="C433" s="6"/>
      <c r="D433" s="6"/>
      <c r="E433" s="6"/>
      <c r="F433" s="6"/>
    </row>
    <row r="434" spans="1:6" ht="15.75" thickBot="1">
      <c r="A434" s="6"/>
      <c r="B434" s="6"/>
      <c r="C434" s="6"/>
      <c r="D434" s="6"/>
      <c r="E434" s="6"/>
      <c r="F434" s="6"/>
    </row>
    <row r="435" spans="1:6" ht="15.75" thickBot="1">
      <c r="A435" s="6"/>
      <c r="B435" s="6"/>
      <c r="C435" s="6"/>
      <c r="D435" s="6"/>
      <c r="E435" s="6"/>
      <c r="F435" s="6"/>
    </row>
    <row r="436" spans="1:6" ht="15.75" thickBot="1">
      <c r="A436" s="6"/>
      <c r="B436" s="6"/>
      <c r="C436" s="6"/>
      <c r="D436" s="6"/>
      <c r="E436" s="6"/>
      <c r="F436" s="6"/>
    </row>
    <row r="437" spans="1:6" ht="15.75" thickBot="1">
      <c r="A437" s="6"/>
      <c r="B437" s="6"/>
      <c r="C437" s="6"/>
      <c r="D437" s="6"/>
      <c r="E437" s="6"/>
      <c r="F437" s="6"/>
    </row>
    <row r="438" spans="1:6" ht="15.75" thickBot="1">
      <c r="A438" s="6"/>
      <c r="B438" s="6"/>
      <c r="C438" s="6"/>
      <c r="D438" s="6"/>
      <c r="E438" s="6"/>
      <c r="F438" s="6"/>
    </row>
    <row r="439" spans="1:6" ht="15.75" thickBot="1">
      <c r="A439" s="6"/>
      <c r="B439" s="6"/>
      <c r="C439" s="6"/>
      <c r="D439" s="6"/>
      <c r="E439" s="6"/>
      <c r="F439" s="6"/>
    </row>
    <row r="440" spans="1:6" ht="15.75" thickBot="1">
      <c r="A440" s="6"/>
      <c r="B440" s="6"/>
      <c r="C440" s="6"/>
      <c r="D440" s="6"/>
      <c r="E440" s="6"/>
      <c r="F440" s="6"/>
    </row>
    <row r="441" spans="1:6" ht="15.75" thickBot="1">
      <c r="A441" s="6"/>
      <c r="B441" s="6"/>
      <c r="C441" s="6"/>
      <c r="D441" s="6"/>
      <c r="E441" s="6"/>
      <c r="F441" s="6"/>
    </row>
    <row r="442" spans="1:6" ht="15.75" thickBot="1">
      <c r="A442" s="6"/>
      <c r="B442" s="6"/>
      <c r="C442" s="6"/>
      <c r="D442" s="6"/>
      <c r="E442" s="6"/>
      <c r="F442" s="6"/>
    </row>
    <row r="443" spans="1:6" ht="15.75" thickBot="1">
      <c r="A443" s="6"/>
      <c r="B443" s="6"/>
      <c r="C443" s="6"/>
      <c r="D443" s="6"/>
      <c r="E443" s="6"/>
      <c r="F443" s="6"/>
    </row>
    <row r="444" spans="1:6" ht="15.75" thickBot="1">
      <c r="A444" s="6"/>
      <c r="B444" s="6"/>
      <c r="C444" s="6"/>
      <c r="D444" s="6"/>
      <c r="E444" s="6"/>
      <c r="F444" s="6"/>
    </row>
    <row r="445" spans="1:6" ht="15.75" thickBot="1">
      <c r="A445" s="6"/>
      <c r="B445" s="6"/>
      <c r="C445" s="6"/>
      <c r="D445" s="6"/>
      <c r="E445" s="6"/>
      <c r="F445" s="6"/>
    </row>
    <row r="446" spans="1:6" ht="15.75" thickBot="1">
      <c r="A446" s="6"/>
      <c r="B446" s="6"/>
      <c r="C446" s="6"/>
      <c r="D446" s="6"/>
      <c r="E446" s="6"/>
      <c r="F446" s="6"/>
    </row>
    <row r="447" spans="1:6" ht="15.75" thickBot="1">
      <c r="A447" s="6"/>
      <c r="B447" s="6"/>
      <c r="C447" s="6"/>
      <c r="D447" s="6"/>
      <c r="E447" s="6"/>
      <c r="F447" s="6"/>
    </row>
    <row r="448" spans="1:6" ht="15.75" thickBot="1">
      <c r="A448" s="6"/>
      <c r="B448" s="6"/>
      <c r="C448" s="6"/>
      <c r="D448" s="6"/>
      <c r="E448" s="6"/>
      <c r="F448" s="6"/>
    </row>
    <row r="449" spans="1:6" ht="15.75" thickBot="1">
      <c r="A449" s="6"/>
      <c r="B449" s="6"/>
      <c r="C449" s="6"/>
      <c r="D449" s="6"/>
      <c r="E449" s="6"/>
      <c r="F449" s="6"/>
    </row>
    <row r="450" spans="1:6" ht="15.75" thickBot="1">
      <c r="A450" s="6"/>
      <c r="B450" s="6"/>
      <c r="C450" s="6"/>
      <c r="D450" s="6"/>
      <c r="E450" s="6"/>
      <c r="F450" s="6"/>
    </row>
    <row r="451" spans="1:6" ht="15.75" thickBot="1">
      <c r="A451" s="6"/>
      <c r="B451" s="6"/>
      <c r="C451" s="6"/>
      <c r="D451" s="6"/>
      <c r="E451" s="6"/>
      <c r="F451" s="6"/>
    </row>
    <row r="452" spans="1:6" ht="15.75" thickBot="1">
      <c r="A452" s="6"/>
      <c r="B452" s="6"/>
      <c r="C452" s="6"/>
      <c r="D452" s="6"/>
      <c r="E452" s="6"/>
      <c r="F452" s="6"/>
    </row>
    <row r="453" spans="1:6" ht="15.75" thickBot="1">
      <c r="A453" s="6"/>
      <c r="B453" s="6"/>
      <c r="C453" s="6"/>
      <c r="D453" s="6"/>
      <c r="E453" s="6"/>
      <c r="F453" s="6"/>
    </row>
    <row r="454" spans="1:6" ht="15.75" thickBot="1">
      <c r="A454" s="6"/>
      <c r="B454" s="6"/>
      <c r="C454" s="6"/>
      <c r="D454" s="6"/>
      <c r="E454" s="6"/>
      <c r="F454" s="6"/>
    </row>
    <row r="455" spans="1:6" ht="15.75" thickBot="1">
      <c r="A455" s="6"/>
      <c r="B455" s="6"/>
      <c r="C455" s="6"/>
      <c r="D455" s="6"/>
      <c r="E455" s="6"/>
      <c r="F455" s="6"/>
    </row>
    <row r="456" spans="1:6" ht="15.75" thickBot="1">
      <c r="A456" s="6"/>
      <c r="B456" s="6"/>
      <c r="C456" s="6"/>
      <c r="D456" s="6"/>
      <c r="E456" s="6"/>
      <c r="F456" s="6"/>
    </row>
    <row r="457" spans="1:6" ht="15.75" thickBot="1">
      <c r="A457" s="6"/>
      <c r="B457" s="6"/>
      <c r="C457" s="6"/>
      <c r="D457" s="6"/>
      <c r="E457" s="6"/>
      <c r="F457" s="6"/>
    </row>
    <row r="458" spans="1:6" ht="15.75" thickBot="1">
      <c r="A458" s="6"/>
      <c r="B458" s="6"/>
      <c r="C458" s="6"/>
      <c r="D458" s="6"/>
      <c r="E458" s="6"/>
      <c r="F458" s="6"/>
    </row>
    <row r="459" spans="1:6" ht="15.75" thickBot="1">
      <c r="A459" s="6"/>
      <c r="B459" s="6"/>
      <c r="C459" s="6"/>
      <c r="D459" s="6"/>
      <c r="E459" s="6"/>
      <c r="F459" s="6"/>
    </row>
    <row r="460" spans="1:6" ht="15.75" thickBot="1">
      <c r="A460" s="6"/>
      <c r="B460" s="6"/>
      <c r="C460" s="6"/>
      <c r="D460" s="6"/>
      <c r="E460" s="6"/>
      <c r="F460" s="6"/>
    </row>
    <row r="461" spans="1:6" ht="15.75" thickBot="1">
      <c r="A461" s="6"/>
      <c r="B461" s="6"/>
      <c r="C461" s="6"/>
      <c r="D461" s="6"/>
      <c r="E461" s="6"/>
      <c r="F461" s="6"/>
    </row>
    <row r="462" spans="1:6" ht="15.75" thickBot="1">
      <c r="A462" s="6"/>
      <c r="B462" s="6"/>
      <c r="C462" s="6"/>
      <c r="D462" s="6"/>
      <c r="E462" s="6"/>
      <c r="F462" s="6"/>
    </row>
    <row r="463" spans="1:6" ht="15.75" thickBot="1">
      <c r="A463" s="6"/>
      <c r="B463" s="6"/>
      <c r="C463" s="6"/>
      <c r="D463" s="6"/>
      <c r="E463" s="6"/>
      <c r="F463" s="6"/>
    </row>
    <row r="464" spans="1:6" ht="15.75" thickBot="1">
      <c r="A464" s="6"/>
      <c r="B464" s="6"/>
      <c r="C464" s="6"/>
      <c r="D464" s="6"/>
      <c r="E464" s="6"/>
      <c r="F464" s="6"/>
    </row>
    <row r="465" spans="1:6" ht="15.75" thickBot="1">
      <c r="A465" s="6"/>
      <c r="B465" s="6"/>
      <c r="C465" s="6"/>
      <c r="D465" s="6"/>
      <c r="E465" s="6"/>
      <c r="F465" s="6"/>
    </row>
    <row r="466" spans="1:6" ht="15.75" thickBot="1">
      <c r="A466" s="6"/>
      <c r="B466" s="6"/>
      <c r="C466" s="6"/>
      <c r="D466" s="6"/>
      <c r="E466" s="6"/>
      <c r="F466" s="6"/>
    </row>
    <row r="467" spans="1:6" ht="15.75" thickBot="1">
      <c r="A467" s="6"/>
      <c r="B467" s="6"/>
      <c r="C467" s="6"/>
      <c r="D467" s="6"/>
      <c r="E467" s="6"/>
      <c r="F467" s="6"/>
    </row>
    <row r="468" spans="1:6" ht="15.75" thickBot="1">
      <c r="A468" s="6"/>
      <c r="B468" s="6"/>
      <c r="C468" s="6"/>
      <c r="D468" s="6"/>
      <c r="E468" s="6"/>
      <c r="F468" s="6"/>
    </row>
    <row r="469" spans="1:6" ht="15.75" thickBot="1">
      <c r="A469" s="6"/>
      <c r="B469" s="6"/>
      <c r="C469" s="6"/>
      <c r="D469" s="6"/>
      <c r="E469" s="6"/>
      <c r="F469" s="6"/>
    </row>
    <row r="470" spans="1:6" ht="15.75" thickBot="1">
      <c r="A470" s="6"/>
      <c r="B470" s="6"/>
      <c r="C470" s="6"/>
      <c r="D470" s="6"/>
      <c r="E470" s="6"/>
      <c r="F470" s="6"/>
    </row>
    <row r="471" spans="1:6" ht="15.75" thickBot="1">
      <c r="A471" s="6"/>
      <c r="B471" s="6"/>
      <c r="C471" s="6"/>
      <c r="D471" s="6"/>
      <c r="E471" s="6"/>
      <c r="F471" s="6"/>
    </row>
    <row r="472" spans="1:6" ht="15.75" thickBot="1">
      <c r="A472" s="6"/>
      <c r="B472" s="6"/>
      <c r="C472" s="6"/>
      <c r="D472" s="6"/>
      <c r="E472" s="6"/>
      <c r="F472" s="6"/>
    </row>
    <row r="473" spans="1:6" ht="15.75" thickBot="1">
      <c r="A473" s="6"/>
      <c r="B473" s="6"/>
      <c r="C473" s="6"/>
      <c r="D473" s="6"/>
      <c r="E473" s="6"/>
      <c r="F473" s="6"/>
    </row>
    <row r="474" spans="1:6" ht="15.75" thickBot="1">
      <c r="A474" s="6"/>
      <c r="B474" s="6"/>
      <c r="C474" s="6"/>
      <c r="D474" s="6"/>
      <c r="E474" s="6"/>
      <c r="F474" s="6"/>
    </row>
    <row r="475" spans="1:6" ht="15.75" thickBot="1">
      <c r="A475" s="6"/>
      <c r="B475" s="6"/>
      <c r="C475" s="6"/>
      <c r="D475" s="6"/>
      <c r="E475" s="6"/>
      <c r="F475" s="6"/>
    </row>
    <row r="476" spans="1:6" ht="15.75" thickBot="1">
      <c r="A476" s="6"/>
      <c r="B476" s="6"/>
      <c r="C476" s="6"/>
      <c r="D476" s="6"/>
      <c r="E476" s="6"/>
      <c r="F476" s="6"/>
    </row>
    <row r="477" spans="1:6" ht="15.75" thickBot="1">
      <c r="A477" s="6"/>
      <c r="B477" s="6"/>
      <c r="C477" s="6"/>
      <c r="D477" s="6"/>
      <c r="E477" s="6"/>
      <c r="F477" s="6"/>
    </row>
    <row r="478" spans="1:6" ht="15.75" thickBot="1">
      <c r="A478" s="6"/>
      <c r="B478" s="6"/>
      <c r="C478" s="6"/>
      <c r="D478" s="6"/>
      <c r="E478" s="6"/>
      <c r="F478" s="6"/>
    </row>
    <row r="479" spans="1:6" ht="15.75" thickBot="1">
      <c r="A479" s="6"/>
      <c r="B479" s="6"/>
      <c r="C479" s="6"/>
      <c r="D479" s="6"/>
      <c r="E479" s="6"/>
      <c r="F479" s="6"/>
    </row>
    <row r="480" spans="1:6" ht="15.75" thickBot="1">
      <c r="A480" s="6"/>
      <c r="B480" s="6"/>
      <c r="C480" s="6"/>
      <c r="D480" s="6"/>
      <c r="E480" s="6"/>
      <c r="F480" s="6"/>
    </row>
    <row r="481" spans="1:6" ht="15.75" thickBot="1">
      <c r="A481" s="6"/>
      <c r="B481" s="6"/>
      <c r="C481" s="6"/>
      <c r="D481" s="6"/>
      <c r="E481" s="6"/>
      <c r="F481" s="6"/>
    </row>
    <row r="482" spans="1:6" ht="15.75" thickBot="1">
      <c r="A482" s="6"/>
      <c r="B482" s="6"/>
      <c r="C482" s="6"/>
      <c r="D482" s="6"/>
      <c r="E482" s="6"/>
      <c r="F482" s="6"/>
    </row>
    <row r="483" spans="1:6" ht="15.75" thickBot="1">
      <c r="A483" s="6"/>
      <c r="B483" s="6"/>
      <c r="C483" s="6"/>
      <c r="D483" s="6"/>
      <c r="E483" s="6"/>
      <c r="F483" s="6"/>
    </row>
    <row r="484" spans="1:6" ht="15.75" thickBot="1">
      <c r="A484" s="6"/>
      <c r="B484" s="6"/>
      <c r="C484" s="6"/>
      <c r="D484" s="6"/>
      <c r="E484" s="6"/>
      <c r="F484" s="6"/>
    </row>
    <row r="485" spans="1:6" ht="15.75" thickBot="1">
      <c r="A485" s="6"/>
      <c r="B485" s="6"/>
      <c r="C485" s="6"/>
      <c r="D485" s="6"/>
      <c r="E485" s="6"/>
      <c r="F485" s="6"/>
    </row>
    <row r="486" spans="1:6" ht="15.75" thickBot="1">
      <c r="A486" s="6"/>
      <c r="B486" s="6"/>
      <c r="C486" s="6"/>
      <c r="D486" s="6"/>
      <c r="E486" s="6"/>
      <c r="F486" s="6"/>
    </row>
    <row r="487" spans="1:6" ht="15.75" thickBot="1">
      <c r="A487" s="6"/>
      <c r="B487" s="6"/>
      <c r="C487" s="6"/>
      <c r="D487" s="6"/>
      <c r="E487" s="6"/>
      <c r="F487" s="6"/>
    </row>
    <row r="488" spans="1:6" ht="15.75" thickBot="1">
      <c r="A488" s="6"/>
      <c r="B488" s="6"/>
      <c r="C488" s="6"/>
      <c r="D488" s="6"/>
      <c r="E488" s="6"/>
      <c r="F488" s="6"/>
    </row>
    <row r="489" spans="1:6" ht="15.75" thickBot="1">
      <c r="A489" s="6"/>
      <c r="B489" s="6"/>
      <c r="C489" s="6"/>
      <c r="D489" s="6"/>
      <c r="E489" s="6"/>
      <c r="F489" s="6"/>
    </row>
    <row r="490" spans="1:6" ht="15.75" thickBot="1">
      <c r="A490" s="6"/>
      <c r="B490" s="6"/>
      <c r="C490" s="6"/>
      <c r="D490" s="6"/>
      <c r="E490" s="6"/>
      <c r="F490" s="6"/>
    </row>
    <row r="491" spans="1:6" ht="15.75" thickBot="1">
      <c r="A491" s="6"/>
      <c r="B491" s="6"/>
      <c r="C491" s="6"/>
      <c r="D491" s="6"/>
      <c r="E491" s="6"/>
      <c r="F491" s="6"/>
    </row>
    <row r="492" spans="1:6" ht="15.75" thickBot="1">
      <c r="A492" s="6"/>
      <c r="B492" s="6"/>
      <c r="C492" s="6"/>
      <c r="D492" s="6"/>
      <c r="E492" s="6"/>
      <c r="F492" s="6"/>
    </row>
    <row r="493" spans="1:6" ht="15.75" thickBot="1">
      <c r="A493" s="6"/>
      <c r="B493" s="6"/>
      <c r="C493" s="6"/>
      <c r="D493" s="6"/>
      <c r="E493" s="6"/>
      <c r="F493" s="6"/>
    </row>
    <row r="494" spans="1:6" ht="15.75" thickBot="1">
      <c r="A494" s="6"/>
      <c r="B494" s="6"/>
      <c r="C494" s="6"/>
      <c r="D494" s="6"/>
      <c r="E494" s="6"/>
      <c r="F494" s="6"/>
    </row>
    <row r="495" spans="1:6" ht="15.75" thickBot="1">
      <c r="A495" s="6"/>
      <c r="B495" s="6"/>
      <c r="C495" s="6"/>
      <c r="D495" s="6"/>
      <c r="E495" s="6"/>
      <c r="F495" s="6"/>
    </row>
    <row r="496" spans="1:6" ht="15.75" thickBot="1">
      <c r="A496" s="6"/>
      <c r="B496" s="6"/>
      <c r="C496" s="6"/>
      <c r="D496" s="6"/>
      <c r="E496" s="6"/>
      <c r="F496" s="6"/>
    </row>
    <row r="497" spans="1:6" ht="15.75" thickBot="1">
      <c r="A497" s="6"/>
      <c r="B497" s="6"/>
      <c r="C497" s="6"/>
      <c r="D497" s="6"/>
      <c r="E497" s="6"/>
      <c r="F497" s="6"/>
    </row>
    <row r="498" spans="1:6" ht="15.75" thickBot="1">
      <c r="A498" s="6"/>
      <c r="B498" s="6"/>
      <c r="C498" s="6"/>
      <c r="D498" s="6"/>
      <c r="E498" s="6"/>
      <c r="F498" s="6"/>
    </row>
    <row r="499" spans="1:6" ht="15.75" thickBot="1">
      <c r="A499" s="6"/>
      <c r="B499" s="6"/>
      <c r="C499" s="6"/>
      <c r="D499" s="6"/>
      <c r="E499" s="6"/>
      <c r="F499" s="6"/>
    </row>
    <row r="500" spans="1:6" ht="15.75" thickBot="1">
      <c r="A500" s="6"/>
      <c r="B500" s="6"/>
      <c r="C500" s="6"/>
      <c r="D500" s="6"/>
      <c r="E500" s="6"/>
      <c r="F500" s="6"/>
    </row>
    <row r="501" spans="1:6" ht="15.75" thickBot="1">
      <c r="A501" s="6"/>
      <c r="B501" s="6"/>
      <c r="C501" s="6"/>
      <c r="D501" s="6"/>
      <c r="E501" s="6"/>
      <c r="F501" s="6"/>
    </row>
    <row r="502" spans="1:6" ht="15.75" thickBot="1">
      <c r="A502" s="6"/>
      <c r="B502" s="6"/>
      <c r="C502" s="6"/>
      <c r="D502" s="6"/>
      <c r="E502" s="6"/>
      <c r="F502" s="6"/>
    </row>
    <row r="503" spans="1:6" ht="15.75" thickBot="1">
      <c r="A503" s="6"/>
      <c r="B503" s="6"/>
      <c r="C503" s="6"/>
      <c r="D503" s="6"/>
      <c r="E503" s="6"/>
      <c r="F503" s="6"/>
    </row>
    <row r="504" spans="1:6" ht="15.75" thickBot="1">
      <c r="A504" s="6"/>
      <c r="B504" s="6"/>
      <c r="C504" s="6"/>
      <c r="D504" s="6"/>
      <c r="E504" s="6"/>
      <c r="F504" s="6"/>
    </row>
    <row r="505" spans="1:6" ht="15.75" thickBot="1">
      <c r="A505" s="6"/>
      <c r="B505" s="6"/>
      <c r="C505" s="6"/>
      <c r="D505" s="6"/>
      <c r="E505" s="6"/>
      <c r="F505" s="6"/>
    </row>
    <row r="506" spans="1:6" ht="15.75" thickBot="1">
      <c r="A506" s="6"/>
      <c r="B506" s="6"/>
      <c r="C506" s="6"/>
      <c r="D506" s="6"/>
      <c r="E506" s="6"/>
      <c r="F506" s="6"/>
    </row>
    <row r="507" spans="1:6" ht="15.75" thickBot="1">
      <c r="A507" s="6"/>
      <c r="B507" s="6"/>
      <c r="C507" s="6"/>
      <c r="D507" s="6"/>
      <c r="E507" s="6"/>
      <c r="F507" s="6"/>
    </row>
    <row r="508" spans="1:6" ht="15.75" thickBot="1">
      <c r="A508" s="6"/>
      <c r="B508" s="6"/>
      <c r="C508" s="6"/>
      <c r="D508" s="6"/>
      <c r="E508" s="6"/>
      <c r="F508" s="6"/>
    </row>
    <row r="509" spans="1:6" ht="15.75" thickBot="1">
      <c r="A509" s="6"/>
      <c r="B509" s="6"/>
      <c r="C509" s="6"/>
      <c r="D509" s="6"/>
      <c r="E509" s="6"/>
      <c r="F509" s="6"/>
    </row>
    <row r="510" spans="1:6" ht="15.75" thickBot="1">
      <c r="A510" s="6"/>
      <c r="B510" s="6"/>
      <c r="C510" s="6"/>
      <c r="D510" s="6"/>
      <c r="E510" s="6"/>
      <c r="F510" s="6"/>
    </row>
    <row r="511" spans="1:6" ht="15.75" thickBot="1">
      <c r="A511" s="6"/>
      <c r="B511" s="6"/>
      <c r="C511" s="6"/>
      <c r="D511" s="6"/>
      <c r="E511" s="6"/>
      <c r="F511" s="6"/>
    </row>
    <row r="512" spans="1:6" ht="15.75" thickBot="1">
      <c r="A512" s="6"/>
      <c r="B512" s="6"/>
      <c r="C512" s="6"/>
      <c r="D512" s="6"/>
      <c r="E512" s="6"/>
      <c r="F512" s="6"/>
    </row>
    <row r="513" spans="1:6" ht="15.75" thickBot="1">
      <c r="A513" s="6"/>
      <c r="B513" s="6"/>
      <c r="C513" s="6"/>
      <c r="D513" s="6"/>
      <c r="E513" s="6"/>
      <c r="F513" s="6"/>
    </row>
    <row r="514" spans="1:6" ht="15.75" thickBot="1">
      <c r="A514" s="6"/>
      <c r="B514" s="6"/>
      <c r="C514" s="6"/>
      <c r="D514" s="6"/>
      <c r="E514" s="6"/>
      <c r="F514" s="6"/>
    </row>
    <row r="515" spans="1:6" ht="15.75" thickBot="1">
      <c r="A515" s="6"/>
      <c r="B515" s="6"/>
      <c r="C515" s="6"/>
      <c r="D515" s="6"/>
      <c r="E515" s="6"/>
      <c r="F515" s="6"/>
    </row>
    <row r="516" spans="1:6" ht="15.75" thickBot="1">
      <c r="A516" s="6"/>
      <c r="B516" s="6"/>
      <c r="C516" s="6"/>
      <c r="D516" s="6"/>
      <c r="E516" s="6"/>
      <c r="F516" s="6"/>
    </row>
    <row r="517" spans="1:6" ht="15.75" thickBot="1">
      <c r="A517" s="6"/>
      <c r="B517" s="6"/>
      <c r="C517" s="6"/>
      <c r="D517" s="6"/>
      <c r="E517" s="6"/>
      <c r="F517" s="6"/>
    </row>
    <row r="518" spans="1:6" ht="15.75" thickBot="1">
      <c r="A518" s="6"/>
      <c r="B518" s="6"/>
      <c r="C518" s="6"/>
      <c r="D518" s="6"/>
      <c r="E518" s="6"/>
      <c r="F518" s="6"/>
    </row>
    <row r="519" spans="1:6" ht="15.75" thickBot="1">
      <c r="A519" s="6"/>
      <c r="B519" s="6"/>
      <c r="C519" s="6"/>
      <c r="D519" s="6"/>
      <c r="E519" s="6"/>
      <c r="F519" s="6"/>
    </row>
    <row r="520" spans="1:6" ht="15.75" thickBot="1">
      <c r="A520" s="6"/>
      <c r="B520" s="6"/>
      <c r="C520" s="6"/>
      <c r="D520" s="6"/>
      <c r="E520" s="6"/>
      <c r="F520" s="6"/>
    </row>
    <row r="521" spans="1:6" ht="15.75" thickBot="1">
      <c r="A521" s="6"/>
      <c r="B521" s="6"/>
      <c r="C521" s="6"/>
      <c r="D521" s="6"/>
      <c r="E521" s="6"/>
      <c r="F521" s="6"/>
    </row>
    <row r="522" spans="1:6" ht="15.75" thickBot="1">
      <c r="A522" s="6"/>
      <c r="B522" s="6"/>
      <c r="C522" s="6"/>
      <c r="D522" s="6"/>
      <c r="E522" s="6"/>
      <c r="F522" s="6"/>
    </row>
    <row r="523" spans="1:6" ht="15.75" thickBot="1">
      <c r="A523" s="6"/>
      <c r="B523" s="6"/>
      <c r="C523" s="6"/>
      <c r="D523" s="6"/>
      <c r="E523" s="6"/>
      <c r="F523" s="6"/>
    </row>
    <row r="524" spans="1:6" ht="15.75" thickBot="1">
      <c r="A524" s="6"/>
      <c r="B524" s="6"/>
      <c r="C524" s="6"/>
      <c r="D524" s="6"/>
      <c r="E524" s="6"/>
      <c r="F524" s="6"/>
    </row>
    <row r="525" spans="1:6" ht="15.75" thickBot="1">
      <c r="A525" s="6"/>
      <c r="B525" s="6"/>
      <c r="C525" s="6"/>
      <c r="D525" s="6"/>
      <c r="E525" s="6"/>
      <c r="F525" s="6"/>
    </row>
    <row r="526" spans="1:6" ht="15.75" thickBot="1">
      <c r="A526" s="6"/>
      <c r="B526" s="6"/>
      <c r="C526" s="6"/>
      <c r="D526" s="6"/>
      <c r="E526" s="6"/>
      <c r="F526" s="6"/>
    </row>
    <row r="527" spans="1:6" ht="15.75" thickBot="1">
      <c r="A527" s="6"/>
      <c r="B527" s="6"/>
      <c r="C527" s="6"/>
      <c r="D527" s="6"/>
      <c r="E527" s="6"/>
      <c r="F527" s="6"/>
    </row>
    <row r="528" spans="1:6" ht="15.75" thickBot="1">
      <c r="A528" s="6"/>
      <c r="B528" s="6"/>
      <c r="C528" s="6"/>
      <c r="D528" s="6"/>
      <c r="E528" s="6"/>
      <c r="F528" s="6"/>
    </row>
    <row r="529" spans="1:6" ht="15.75" thickBot="1">
      <c r="A529" s="6"/>
      <c r="B529" s="6"/>
      <c r="C529" s="6"/>
      <c r="D529" s="6"/>
      <c r="E529" s="6"/>
      <c r="F529" s="6"/>
    </row>
    <row r="530" spans="1:6" ht="15.75" thickBot="1">
      <c r="A530" s="6"/>
      <c r="B530" s="6"/>
      <c r="C530" s="6"/>
      <c r="D530" s="6"/>
      <c r="E530" s="6"/>
      <c r="F530" s="6"/>
    </row>
    <row r="531" spans="1:6" ht="15.75" thickBot="1">
      <c r="A531" s="6"/>
      <c r="B531" s="6"/>
      <c r="C531" s="6"/>
      <c r="D531" s="6"/>
      <c r="E531" s="6"/>
      <c r="F531" s="6"/>
    </row>
    <row r="532" spans="1:6" ht="15.75" thickBot="1">
      <c r="A532" s="6"/>
      <c r="B532" s="6"/>
      <c r="C532" s="6"/>
      <c r="D532" s="6"/>
      <c r="E532" s="6"/>
      <c r="F532" s="6"/>
    </row>
    <row r="533" spans="1:6" ht="15.75" thickBot="1">
      <c r="A533" s="6"/>
      <c r="B533" s="6"/>
      <c r="C533" s="6"/>
      <c r="D533" s="6"/>
      <c r="E533" s="6"/>
      <c r="F533" s="6"/>
    </row>
    <row r="534" spans="1:6" ht="15.75" thickBot="1">
      <c r="A534" s="6"/>
      <c r="B534" s="6"/>
      <c r="C534" s="6"/>
      <c r="D534" s="6"/>
      <c r="E534" s="6"/>
      <c r="F534" s="6"/>
    </row>
    <row r="535" spans="1:6" ht="15.75" thickBot="1">
      <c r="A535" s="6"/>
      <c r="B535" s="6"/>
      <c r="C535" s="6"/>
      <c r="D535" s="6"/>
      <c r="E535" s="6"/>
      <c r="F535" s="6"/>
    </row>
    <row r="536" spans="1:6" ht="15.75" thickBot="1">
      <c r="A536" s="6"/>
      <c r="B536" s="6"/>
      <c r="C536" s="6"/>
      <c r="D536" s="6"/>
      <c r="E536" s="6"/>
      <c r="F536" s="6"/>
    </row>
    <row r="537" spans="1:6" ht="15.75" thickBot="1">
      <c r="A537" s="6"/>
      <c r="B537" s="6"/>
      <c r="C537" s="6"/>
      <c r="D537" s="6"/>
      <c r="E537" s="6"/>
      <c r="F537" s="6"/>
    </row>
    <row r="538" spans="1:6" ht="15.75" thickBot="1">
      <c r="A538" s="6"/>
      <c r="B538" s="6"/>
      <c r="C538" s="6"/>
      <c r="D538" s="6"/>
      <c r="E538" s="6"/>
      <c r="F538" s="6"/>
    </row>
    <row r="539" spans="1:6" ht="15.75" thickBot="1">
      <c r="A539" s="6"/>
      <c r="B539" s="6"/>
      <c r="C539" s="6"/>
      <c r="D539" s="6"/>
      <c r="E539" s="6"/>
      <c r="F539" s="6"/>
    </row>
    <row r="540" spans="1:6" ht="15.75" thickBot="1">
      <c r="A540" s="6"/>
      <c r="B540" s="6"/>
      <c r="C540" s="6"/>
      <c r="D540" s="6"/>
      <c r="E540" s="6"/>
      <c r="F540" s="6"/>
    </row>
    <row r="541" spans="1:6" ht="15.75" thickBot="1">
      <c r="A541" s="6"/>
      <c r="B541" s="6"/>
      <c r="C541" s="6"/>
      <c r="D541" s="6"/>
      <c r="E541" s="6"/>
      <c r="F541" s="6"/>
    </row>
    <row r="542" spans="1:6" ht="15.75" thickBot="1">
      <c r="A542" s="6"/>
      <c r="B542" s="6"/>
      <c r="C542" s="6"/>
      <c r="D542" s="6"/>
      <c r="E542" s="6"/>
      <c r="F542" s="6"/>
    </row>
    <row r="543" spans="1:6" ht="15.75" thickBot="1">
      <c r="A543" s="6"/>
      <c r="B543" s="6"/>
      <c r="C543" s="6"/>
      <c r="D543" s="6"/>
      <c r="E543" s="6"/>
      <c r="F543" s="6"/>
    </row>
    <row r="544" spans="1:6" ht="15.75" thickBot="1">
      <c r="A544" s="6"/>
      <c r="B544" s="6"/>
      <c r="C544" s="6"/>
      <c r="D544" s="6"/>
      <c r="E544" s="6"/>
      <c r="F544" s="6"/>
    </row>
    <row r="545" spans="1:6" ht="15.75" thickBot="1">
      <c r="A545" s="6"/>
      <c r="B545" s="6"/>
      <c r="C545" s="6"/>
      <c r="D545" s="6"/>
      <c r="E545" s="6"/>
      <c r="F545" s="6"/>
    </row>
    <row r="546" spans="1:6" ht="15.75" thickBot="1">
      <c r="A546" s="6"/>
      <c r="B546" s="6"/>
      <c r="C546" s="6"/>
      <c r="D546" s="6"/>
      <c r="E546" s="6"/>
      <c r="F546" s="6"/>
    </row>
    <row r="547" spans="1:6" ht="15.75" thickBot="1">
      <c r="A547" s="6"/>
      <c r="B547" s="6"/>
      <c r="C547" s="6"/>
      <c r="D547" s="6"/>
      <c r="E547" s="6"/>
      <c r="F547" s="6"/>
    </row>
    <row r="548" spans="1:6" ht="15.75" thickBot="1">
      <c r="A548" s="6"/>
      <c r="B548" s="6"/>
      <c r="C548" s="6"/>
      <c r="D548" s="6"/>
      <c r="E548" s="6"/>
      <c r="F548" s="6"/>
    </row>
    <row r="549" spans="1:6" ht="15.75" thickBot="1">
      <c r="A549" s="6"/>
      <c r="B549" s="6"/>
      <c r="C549" s="6"/>
      <c r="D549" s="6"/>
      <c r="E549" s="6"/>
      <c r="F549" s="6"/>
    </row>
    <row r="550" spans="1:6" ht="15.75" thickBot="1">
      <c r="A550" s="6"/>
      <c r="B550" s="6"/>
      <c r="C550" s="6"/>
      <c r="D550" s="6"/>
      <c r="E550" s="6"/>
      <c r="F550" s="6"/>
    </row>
    <row r="551" spans="1:6" ht="15.75" thickBot="1">
      <c r="A551" s="6"/>
      <c r="B551" s="6"/>
      <c r="C551" s="6"/>
      <c r="D551" s="6"/>
      <c r="E551" s="6"/>
      <c r="F551" s="6"/>
    </row>
    <row r="552" spans="1:6" ht="15.75" thickBot="1">
      <c r="A552" s="6"/>
      <c r="B552" s="6"/>
      <c r="C552" s="6"/>
      <c r="D552" s="6"/>
      <c r="E552" s="6"/>
      <c r="F552" s="6"/>
    </row>
    <row r="553" spans="1:6" ht="15.75" thickBot="1">
      <c r="A553" s="6"/>
      <c r="B553" s="6"/>
      <c r="C553" s="6"/>
      <c r="D553" s="6"/>
      <c r="E553" s="6"/>
      <c r="F553" s="6"/>
    </row>
    <row r="554" spans="1:6" ht="15.75" thickBot="1">
      <c r="A554" s="6"/>
      <c r="B554" s="6"/>
      <c r="C554" s="6"/>
      <c r="D554" s="6"/>
      <c r="E554" s="6"/>
      <c r="F554" s="6"/>
    </row>
    <row r="555" spans="1:6" ht="15.75" thickBot="1">
      <c r="A555" s="6"/>
      <c r="B555" s="6"/>
      <c r="C555" s="6"/>
      <c r="D555" s="6"/>
      <c r="E555" s="6"/>
      <c r="F555" s="6"/>
    </row>
    <row r="556" spans="1:6" ht="15.75" thickBot="1">
      <c r="A556" s="6"/>
      <c r="B556" s="6"/>
      <c r="C556" s="6"/>
      <c r="D556" s="6"/>
      <c r="E556" s="6"/>
      <c r="F556" s="6"/>
    </row>
    <row r="557" spans="1:6" ht="15.75" thickBot="1">
      <c r="A557" s="6"/>
      <c r="B557" s="6"/>
      <c r="C557" s="6"/>
      <c r="D557" s="6"/>
      <c r="E557" s="6"/>
      <c r="F557" s="6"/>
    </row>
    <row r="558" spans="1:6" ht="15.75" thickBot="1">
      <c r="A558" s="6"/>
      <c r="B558" s="6"/>
      <c r="C558" s="6"/>
      <c r="D558" s="6"/>
      <c r="E558" s="6"/>
      <c r="F558" s="6"/>
    </row>
    <row r="559" spans="1:6" ht="15.75" thickBot="1">
      <c r="A559" s="6"/>
      <c r="B559" s="6"/>
      <c r="C559" s="6"/>
      <c r="D559" s="6"/>
      <c r="E559" s="6"/>
      <c r="F559" s="6"/>
    </row>
    <row r="560" spans="1:6" ht="15.75" thickBot="1">
      <c r="A560" s="6"/>
      <c r="B560" s="6"/>
      <c r="C560" s="6"/>
      <c r="D560" s="6"/>
      <c r="E560" s="6"/>
      <c r="F560" s="6"/>
    </row>
    <row r="561" spans="1:6" ht="15.75" thickBot="1">
      <c r="A561" s="6"/>
      <c r="B561" s="6"/>
      <c r="C561" s="6"/>
      <c r="D561" s="6"/>
      <c r="E561" s="6"/>
      <c r="F561" s="6"/>
    </row>
    <row r="562" spans="1:6" ht="15.75" thickBot="1">
      <c r="A562" s="6"/>
      <c r="B562" s="6"/>
      <c r="C562" s="6"/>
      <c r="D562" s="6"/>
      <c r="E562" s="6"/>
      <c r="F562" s="6"/>
    </row>
    <row r="563" spans="1:6" ht="15.75" thickBot="1">
      <c r="A563" s="6"/>
      <c r="B563" s="6"/>
      <c r="C563" s="6"/>
      <c r="D563" s="6"/>
      <c r="E563" s="6"/>
      <c r="F563" s="6"/>
    </row>
    <row r="564" spans="1:6" ht="15.75" thickBot="1">
      <c r="A564" s="6"/>
      <c r="B564" s="6"/>
      <c r="C564" s="6"/>
      <c r="D564" s="6"/>
      <c r="E564" s="6"/>
      <c r="F564" s="6"/>
    </row>
    <row r="565" spans="1:6" ht="15.75" thickBot="1">
      <c r="A565" s="6"/>
      <c r="B565" s="6"/>
      <c r="C565" s="6"/>
      <c r="D565" s="6"/>
      <c r="E565" s="6"/>
      <c r="F565" s="6"/>
    </row>
    <row r="566" spans="1:6" ht="15.75" thickBot="1">
      <c r="A566" s="6"/>
      <c r="B566" s="6"/>
      <c r="C566" s="6"/>
      <c r="D566" s="6"/>
      <c r="E566" s="6"/>
      <c r="F566" s="6"/>
    </row>
    <row r="567" spans="1:6" ht="15.75" thickBot="1">
      <c r="A567" s="6"/>
      <c r="B567" s="6"/>
      <c r="C567" s="6"/>
      <c r="D567" s="6"/>
      <c r="E567" s="6"/>
      <c r="F567" s="6"/>
    </row>
    <row r="568" spans="1:6" ht="15.75" thickBot="1">
      <c r="A568" s="6"/>
      <c r="B568" s="6"/>
      <c r="C568" s="6"/>
      <c r="D568" s="6"/>
      <c r="E568" s="6"/>
      <c r="F568" s="6"/>
    </row>
    <row r="569" spans="1:6" ht="15.75" thickBot="1">
      <c r="A569" s="6"/>
      <c r="B569" s="6"/>
      <c r="C569" s="6"/>
      <c r="D569" s="6"/>
      <c r="E569" s="6"/>
      <c r="F569" s="6"/>
    </row>
    <row r="570" spans="1:6" ht="15.75" thickBot="1">
      <c r="A570" s="6"/>
      <c r="B570" s="6"/>
      <c r="C570" s="6"/>
      <c r="D570" s="6"/>
      <c r="E570" s="6"/>
      <c r="F570" s="6"/>
    </row>
    <row r="571" spans="1:6" ht="15.75" thickBot="1">
      <c r="A571" s="6"/>
      <c r="B571" s="6"/>
      <c r="C571" s="6"/>
      <c r="D571" s="6"/>
      <c r="E571" s="6"/>
      <c r="F571" s="6"/>
    </row>
    <row r="572" spans="1:6" ht="15.75" thickBot="1">
      <c r="A572" s="6"/>
      <c r="B572" s="6"/>
      <c r="C572" s="6"/>
      <c r="D572" s="6"/>
      <c r="E572" s="6"/>
      <c r="F572" s="6"/>
    </row>
    <row r="573" spans="1:6" ht="15.75" thickBot="1">
      <c r="A573" s="6"/>
      <c r="B573" s="6"/>
      <c r="C573" s="6"/>
      <c r="D573" s="6"/>
      <c r="E573" s="6"/>
      <c r="F573" s="6"/>
    </row>
    <row r="574" spans="1:6" ht="15.75" thickBot="1">
      <c r="A574" s="6"/>
      <c r="B574" s="6"/>
      <c r="C574" s="6"/>
      <c r="D574" s="6"/>
      <c r="E574" s="6"/>
      <c r="F574" s="6"/>
    </row>
    <row r="575" spans="1:6" ht="15.75" thickBot="1">
      <c r="A575" s="6"/>
      <c r="B575" s="6"/>
      <c r="C575" s="6"/>
      <c r="D575" s="6"/>
      <c r="E575" s="6"/>
      <c r="F575" s="6"/>
    </row>
    <row r="576" spans="1:6" ht="15.75" thickBot="1">
      <c r="A576" s="6"/>
      <c r="B576" s="6"/>
      <c r="C576" s="6"/>
      <c r="D576" s="6"/>
      <c r="E576" s="6"/>
      <c r="F576" s="6"/>
    </row>
    <row r="577" spans="1:6" ht="15.75" thickBot="1">
      <c r="A577" s="6"/>
      <c r="B577" s="6"/>
      <c r="C577" s="6"/>
      <c r="D577" s="6"/>
      <c r="E577" s="6"/>
      <c r="F577" s="6"/>
    </row>
    <row r="578" spans="1:6" ht="15.75" thickBot="1">
      <c r="A578" s="6"/>
      <c r="B578" s="6"/>
      <c r="C578" s="6"/>
      <c r="D578" s="6"/>
      <c r="E578" s="6"/>
      <c r="F578" s="6"/>
    </row>
    <row r="579" spans="1:6" ht="15.75" thickBot="1">
      <c r="A579" s="6"/>
      <c r="B579" s="6"/>
      <c r="C579" s="6"/>
      <c r="D579" s="6"/>
      <c r="E579" s="6"/>
      <c r="F579" s="6"/>
    </row>
    <row r="580" spans="1:6" ht="15.75" thickBot="1">
      <c r="A580" s="6"/>
      <c r="B580" s="6"/>
      <c r="C580" s="6"/>
      <c r="D580" s="6"/>
      <c r="E580" s="6"/>
      <c r="F580" s="6"/>
    </row>
    <row r="581" spans="1:6" ht="15.75" thickBot="1">
      <c r="A581" s="6"/>
      <c r="B581" s="6"/>
      <c r="C581" s="6"/>
      <c r="D581" s="6"/>
      <c r="E581" s="6"/>
      <c r="F581" s="6"/>
    </row>
    <row r="582" spans="1:6" ht="15.75" thickBot="1">
      <c r="A582" s="6"/>
      <c r="B582" s="6"/>
      <c r="C582" s="6"/>
      <c r="D582" s="6"/>
      <c r="E582" s="6"/>
      <c r="F582" s="6"/>
    </row>
    <row r="583" spans="1:6" ht="15.75" thickBot="1">
      <c r="A583" s="6"/>
      <c r="B583" s="6"/>
      <c r="C583" s="6"/>
      <c r="D583" s="6"/>
      <c r="E583" s="6"/>
      <c r="F583" s="6"/>
    </row>
    <row r="584" spans="1:6" ht="15.75" thickBot="1">
      <c r="A584" s="6"/>
      <c r="B584" s="6"/>
      <c r="C584" s="6"/>
      <c r="D584" s="6"/>
      <c r="E584" s="6"/>
      <c r="F584" s="6"/>
    </row>
    <row r="585" spans="1:6" ht="15.75" thickBot="1">
      <c r="A585" s="6"/>
      <c r="B585" s="6"/>
      <c r="C585" s="6"/>
      <c r="D585" s="6"/>
      <c r="E585" s="6"/>
      <c r="F585" s="6"/>
    </row>
    <row r="586" spans="1:6" ht="15.75" thickBot="1">
      <c r="A586" s="6"/>
      <c r="B586" s="6"/>
      <c r="C586" s="6"/>
      <c r="D586" s="6"/>
      <c r="E586" s="6"/>
      <c r="F586" s="6"/>
    </row>
    <row r="587" spans="1:6" ht="15.75" thickBot="1">
      <c r="A587" s="6"/>
      <c r="B587" s="6"/>
      <c r="C587" s="6"/>
      <c r="D587" s="6"/>
      <c r="E587" s="6"/>
      <c r="F587" s="6"/>
    </row>
    <row r="588" spans="1:6" ht="15.75" thickBot="1">
      <c r="A588" s="6"/>
      <c r="B588" s="6"/>
      <c r="C588" s="6"/>
      <c r="D588" s="6"/>
      <c r="E588" s="6"/>
      <c r="F588" s="6"/>
    </row>
    <row r="589" spans="1:6" ht="15.75" thickBot="1">
      <c r="A589" s="6"/>
      <c r="B589" s="6"/>
      <c r="C589" s="6"/>
      <c r="D589" s="6"/>
      <c r="E589" s="6"/>
      <c r="F589" s="6"/>
    </row>
    <row r="590" spans="1:6" ht="15.75" thickBot="1">
      <c r="A590" s="6"/>
      <c r="B590" s="6"/>
      <c r="C590" s="6"/>
      <c r="D590" s="6"/>
      <c r="E590" s="6"/>
      <c r="F590" s="6"/>
    </row>
    <row r="591" spans="1:6" ht="15.75" thickBot="1">
      <c r="A591" s="6"/>
      <c r="B591" s="6"/>
      <c r="C591" s="6"/>
      <c r="D591" s="6"/>
      <c r="E591" s="6"/>
      <c r="F591" s="6"/>
    </row>
    <row r="592" spans="1:6" ht="15.75" thickBot="1">
      <c r="A592" s="6"/>
      <c r="B592" s="6"/>
      <c r="C592" s="6"/>
      <c r="D592" s="6"/>
      <c r="E592" s="6"/>
      <c r="F592" s="6"/>
    </row>
    <row r="593" spans="1:6" ht="15.75" thickBot="1">
      <c r="A593" s="6"/>
      <c r="B593" s="6"/>
      <c r="C593" s="6"/>
      <c r="D593" s="6"/>
      <c r="E593" s="6"/>
      <c r="F593" s="6"/>
    </row>
    <row r="594" spans="1:6" ht="15.75" thickBot="1">
      <c r="A594" s="6"/>
      <c r="B594" s="6"/>
      <c r="C594" s="6"/>
      <c r="D594" s="6"/>
      <c r="E594" s="6"/>
      <c r="F594" s="6"/>
    </row>
    <row r="595" spans="1:6" ht="15.75" thickBot="1">
      <c r="A595" s="6"/>
      <c r="B595" s="6"/>
      <c r="C595" s="6"/>
      <c r="D595" s="6"/>
      <c r="E595" s="6"/>
      <c r="F595" s="6"/>
    </row>
    <row r="596" spans="1:6" ht="15.75" thickBot="1">
      <c r="A596" s="6"/>
      <c r="B596" s="6"/>
      <c r="C596" s="6"/>
      <c r="D596" s="6"/>
      <c r="E596" s="6"/>
      <c r="F596" s="6"/>
    </row>
    <row r="597" spans="1:6" ht="15.75" thickBot="1">
      <c r="A597" s="6"/>
      <c r="B597" s="6"/>
      <c r="C597" s="6"/>
      <c r="D597" s="6"/>
      <c r="E597" s="6"/>
      <c r="F597" s="6"/>
    </row>
    <row r="598" spans="1:6" ht="15.75" thickBot="1">
      <c r="A598" s="6"/>
      <c r="B598" s="6"/>
      <c r="C598" s="6"/>
      <c r="D598" s="6"/>
      <c r="E598" s="6"/>
      <c r="F598" s="6"/>
    </row>
    <row r="599" spans="1:6" ht="15.75" thickBot="1">
      <c r="A599" s="6"/>
      <c r="B599" s="6"/>
      <c r="C599" s="6"/>
      <c r="D599" s="6"/>
      <c r="E599" s="6"/>
      <c r="F599" s="6"/>
    </row>
    <row r="600" spans="1:6" ht="15.75" thickBot="1">
      <c r="A600" s="6"/>
      <c r="B600" s="6"/>
      <c r="C600" s="6"/>
      <c r="D600" s="6"/>
      <c r="E600" s="6"/>
      <c r="F600" s="6"/>
    </row>
    <row r="601" spans="1:6" ht="15.75" thickBot="1">
      <c r="A601" s="6"/>
      <c r="B601" s="6"/>
      <c r="C601" s="6"/>
      <c r="D601" s="6"/>
      <c r="E601" s="6"/>
      <c r="F601" s="6"/>
    </row>
    <row r="602" spans="1:6" ht="15.75" thickBot="1">
      <c r="A602" s="6"/>
      <c r="B602" s="6"/>
      <c r="C602" s="6"/>
      <c r="D602" s="6"/>
      <c r="E602" s="6"/>
      <c r="F602" s="6"/>
    </row>
    <row r="603" spans="1:6" ht="15.75" thickBot="1">
      <c r="A603" s="6"/>
      <c r="B603" s="6"/>
      <c r="C603" s="6"/>
      <c r="D603" s="6"/>
      <c r="E603" s="6"/>
      <c r="F603" s="6"/>
    </row>
    <row r="604" spans="1:6" ht="15.75" thickBot="1">
      <c r="A604" s="6"/>
      <c r="B604" s="6"/>
      <c r="C604" s="6"/>
      <c r="D604" s="6"/>
      <c r="E604" s="6"/>
      <c r="F604" s="6"/>
    </row>
    <row r="605" spans="1:6" ht="15.75" thickBot="1">
      <c r="A605" s="6"/>
      <c r="B605" s="6"/>
      <c r="C605" s="6"/>
      <c r="D605" s="6"/>
      <c r="E605" s="6"/>
      <c r="F605" s="6"/>
    </row>
    <row r="606" spans="1:6" ht="15.75" thickBot="1">
      <c r="A606" s="6"/>
      <c r="B606" s="6"/>
      <c r="C606" s="6"/>
      <c r="D606" s="6"/>
      <c r="E606" s="6"/>
      <c r="F606" s="6"/>
    </row>
    <row r="607" spans="1:6" ht="15.75" thickBot="1">
      <c r="A607" s="6"/>
      <c r="B607" s="6"/>
      <c r="C607" s="6"/>
      <c r="D607" s="6"/>
      <c r="E607" s="6"/>
      <c r="F607" s="6"/>
    </row>
    <row r="608" spans="1:6" ht="15.75" thickBot="1">
      <c r="A608" s="6"/>
      <c r="B608" s="6"/>
      <c r="C608" s="6"/>
      <c r="D608" s="6"/>
      <c r="E608" s="6"/>
      <c r="F608" s="6"/>
    </row>
    <row r="609" spans="1:6" ht="15.75" thickBot="1">
      <c r="A609" s="6"/>
      <c r="B609" s="6"/>
      <c r="C609" s="6"/>
      <c r="D609" s="6"/>
      <c r="E609" s="6"/>
      <c r="F609" s="6"/>
    </row>
    <row r="610" spans="1:6" ht="15.75" thickBot="1">
      <c r="A610" s="6"/>
      <c r="B610" s="6"/>
      <c r="C610" s="6"/>
      <c r="D610" s="6"/>
      <c r="E610" s="6"/>
      <c r="F610" s="6"/>
    </row>
    <row r="611" spans="1:6" ht="15.75" thickBot="1">
      <c r="A611" s="6"/>
      <c r="B611" s="6"/>
      <c r="C611" s="6"/>
      <c r="D611" s="6"/>
      <c r="E611" s="6"/>
      <c r="F611" s="6"/>
    </row>
    <row r="612" spans="1:6" ht="15.75" thickBot="1">
      <c r="A612" s="6"/>
      <c r="B612" s="6"/>
      <c r="C612" s="6"/>
      <c r="D612" s="6"/>
      <c r="E612" s="6"/>
      <c r="F612" s="6"/>
    </row>
    <row r="613" spans="1:6" ht="15.75" thickBot="1">
      <c r="A613" s="6"/>
      <c r="B613" s="6"/>
      <c r="C613" s="6"/>
      <c r="D613" s="6"/>
      <c r="E613" s="6"/>
      <c r="F613" s="6"/>
    </row>
    <row r="614" spans="1:6" ht="15.75" thickBot="1">
      <c r="A614" s="6"/>
      <c r="B614" s="6"/>
      <c r="C614" s="6"/>
      <c r="D614" s="6"/>
      <c r="E614" s="6"/>
      <c r="F614" s="6"/>
    </row>
    <row r="615" spans="1:6" ht="15.75" thickBot="1">
      <c r="A615" s="6"/>
      <c r="B615" s="6"/>
      <c r="C615" s="6"/>
      <c r="D615" s="6"/>
      <c r="E615" s="6"/>
      <c r="F615" s="6"/>
    </row>
    <row r="616" spans="1:6" ht="15.75" thickBot="1">
      <c r="A616" s="6"/>
      <c r="B616" s="6"/>
      <c r="C616" s="6"/>
      <c r="D616" s="6"/>
      <c r="E616" s="6"/>
      <c r="F616" s="6"/>
    </row>
    <row r="617" spans="1:6" ht="15.75" thickBot="1">
      <c r="A617" s="6"/>
      <c r="B617" s="6"/>
      <c r="C617" s="6"/>
      <c r="D617" s="6"/>
      <c r="E617" s="6"/>
      <c r="F617" s="6"/>
    </row>
    <row r="618" spans="1:6" ht="15.75" thickBot="1">
      <c r="A618" s="6"/>
      <c r="B618" s="6"/>
      <c r="C618" s="6"/>
      <c r="D618" s="6"/>
      <c r="E618" s="6"/>
      <c r="F618" s="6"/>
    </row>
    <row r="619" spans="1:6" ht="15.75" thickBot="1">
      <c r="A619" s="6"/>
      <c r="B619" s="6"/>
      <c r="C619" s="6"/>
      <c r="D619" s="6"/>
      <c r="E619" s="6"/>
      <c r="F619" s="6"/>
    </row>
    <row r="620" spans="1:6" ht="15.75" thickBot="1">
      <c r="A620" s="6"/>
      <c r="B620" s="6"/>
      <c r="C620" s="6"/>
      <c r="D620" s="6"/>
      <c r="E620" s="6"/>
      <c r="F620" s="6"/>
    </row>
    <row r="621" spans="1:6" ht="15.75" thickBot="1">
      <c r="A621" s="6"/>
      <c r="B621" s="6"/>
      <c r="C621" s="6"/>
      <c r="D621" s="6"/>
      <c r="E621" s="6"/>
      <c r="F621" s="6"/>
    </row>
    <row r="622" spans="1:6" ht="15.75" thickBot="1">
      <c r="A622" s="6"/>
      <c r="B622" s="6"/>
      <c r="C622" s="6"/>
      <c r="D622" s="6"/>
      <c r="E622" s="6"/>
      <c r="F622" s="6"/>
    </row>
    <row r="623" spans="1:6" ht="15.75" thickBot="1">
      <c r="A623" s="6"/>
      <c r="B623" s="6"/>
      <c r="C623" s="6"/>
      <c r="D623" s="6"/>
      <c r="E623" s="6"/>
      <c r="F623" s="6"/>
    </row>
    <row r="624" spans="1:6" ht="15.75" thickBot="1">
      <c r="A624" s="6"/>
      <c r="B624" s="6"/>
      <c r="C624" s="6"/>
      <c r="D624" s="6"/>
      <c r="E624" s="6"/>
      <c r="F624" s="6"/>
    </row>
    <row r="625" spans="1:6" ht="15.75" thickBot="1">
      <c r="A625" s="6"/>
      <c r="B625" s="6"/>
      <c r="C625" s="6"/>
      <c r="D625" s="6"/>
      <c r="E625" s="6"/>
      <c r="F625" s="6"/>
    </row>
    <row r="626" spans="1:6" ht="15.75" thickBot="1">
      <c r="A626" s="6"/>
      <c r="B626" s="6"/>
      <c r="C626" s="6"/>
      <c r="D626" s="6"/>
      <c r="E626" s="6"/>
      <c r="F626" s="6"/>
    </row>
    <row r="627" spans="1:6" ht="15.75" thickBot="1">
      <c r="A627" s="6"/>
      <c r="B627" s="6"/>
      <c r="C627" s="6"/>
      <c r="D627" s="6"/>
      <c r="E627" s="6"/>
      <c r="F627" s="6"/>
    </row>
    <row r="628" spans="1:6" ht="15.75" thickBot="1">
      <c r="A628" s="6"/>
      <c r="B628" s="6"/>
      <c r="C628" s="6"/>
      <c r="D628" s="6"/>
      <c r="E628" s="6"/>
      <c r="F628" s="6"/>
    </row>
    <row r="629" spans="1:6" ht="15.75" thickBot="1">
      <c r="A629" s="6"/>
      <c r="B629" s="6"/>
      <c r="C629" s="6"/>
      <c r="D629" s="6"/>
      <c r="E629" s="6"/>
      <c r="F629" s="6"/>
    </row>
    <row r="630" spans="1:6" ht="15.75" thickBot="1">
      <c r="A630" s="6"/>
      <c r="B630" s="6"/>
      <c r="C630" s="6"/>
      <c r="D630" s="6"/>
      <c r="E630" s="6"/>
      <c r="F630" s="6"/>
    </row>
    <row r="631" spans="1:6" ht="15.75" thickBot="1">
      <c r="A631" s="6"/>
      <c r="B631" s="6"/>
      <c r="C631" s="6"/>
      <c r="D631" s="6"/>
      <c r="E631" s="6"/>
      <c r="F631" s="6"/>
    </row>
    <row r="632" spans="1:6" ht="15.75" thickBot="1">
      <c r="A632" s="6"/>
      <c r="B632" s="6"/>
      <c r="C632" s="6"/>
      <c r="D632" s="6"/>
      <c r="E632" s="6"/>
      <c r="F632" s="6"/>
    </row>
    <row r="633" spans="1:6" ht="15.75" thickBot="1">
      <c r="A633" s="6"/>
      <c r="B633" s="6"/>
      <c r="C633" s="6"/>
      <c r="D633" s="6"/>
      <c r="E633" s="6"/>
      <c r="F633" s="6"/>
    </row>
    <row r="634" spans="1:6" ht="15.75" thickBot="1">
      <c r="A634" s="6"/>
      <c r="B634" s="6"/>
      <c r="C634" s="6"/>
      <c r="D634" s="6"/>
      <c r="E634" s="6"/>
      <c r="F634" s="6"/>
    </row>
    <row r="635" spans="1:6" ht="15.75" thickBot="1">
      <c r="A635" s="6"/>
      <c r="B635" s="6"/>
      <c r="C635" s="6"/>
      <c r="D635" s="6"/>
      <c r="E635" s="6"/>
      <c r="F635" s="6"/>
    </row>
    <row r="636" spans="1:6" ht="15.75" thickBot="1">
      <c r="A636" s="6"/>
      <c r="B636" s="6"/>
      <c r="C636" s="6"/>
      <c r="D636" s="6"/>
      <c r="E636" s="6"/>
      <c r="F636" s="6"/>
    </row>
    <row r="637" spans="1:6" ht="15.75" thickBot="1">
      <c r="A637" s="6"/>
      <c r="B637" s="6"/>
      <c r="C637" s="6"/>
      <c r="D637" s="6"/>
      <c r="E637" s="6"/>
      <c r="F637" s="6"/>
    </row>
    <row r="638" spans="1:6" ht="15.75" thickBot="1">
      <c r="A638" s="6"/>
      <c r="B638" s="6"/>
      <c r="C638" s="6"/>
      <c r="D638" s="6"/>
      <c r="E638" s="6"/>
      <c r="F638" s="6"/>
    </row>
    <row r="639" spans="1:6" ht="15.75" thickBot="1">
      <c r="A639" s="6"/>
      <c r="B639" s="6"/>
      <c r="C639" s="6"/>
      <c r="D639" s="6"/>
      <c r="E639" s="6"/>
      <c r="F639" s="6"/>
    </row>
    <row r="640" spans="1:6" ht="15.75" thickBot="1">
      <c r="A640" s="6"/>
      <c r="B640" s="6"/>
      <c r="C640" s="6"/>
      <c r="D640" s="6"/>
      <c r="E640" s="6"/>
      <c r="F640" s="6"/>
    </row>
    <row r="641" spans="1:6" ht="15.75" thickBot="1">
      <c r="A641" s="6"/>
      <c r="B641" s="6"/>
      <c r="C641" s="6"/>
      <c r="D641" s="6"/>
      <c r="E641" s="6"/>
      <c r="F641" s="6"/>
    </row>
    <row r="642" spans="1:6" ht="15.75" thickBot="1">
      <c r="A642" s="6"/>
      <c r="B642" s="6"/>
      <c r="C642" s="6"/>
      <c r="D642" s="6"/>
      <c r="E642" s="6"/>
      <c r="F642" s="6"/>
    </row>
    <row r="643" spans="1:6" ht="15.75" thickBot="1">
      <c r="A643" s="6"/>
      <c r="B643" s="6"/>
      <c r="C643" s="6"/>
      <c r="D643" s="6"/>
      <c r="E643" s="6"/>
      <c r="F643" s="6"/>
    </row>
    <row r="644" spans="1:6" ht="15.75" thickBot="1">
      <c r="A644" s="6"/>
      <c r="B644" s="6"/>
      <c r="C644" s="6"/>
      <c r="D644" s="6"/>
      <c r="E644" s="6"/>
      <c r="F644" s="6"/>
    </row>
    <row r="645" spans="1:6" ht="15.75" thickBot="1">
      <c r="A645" s="6"/>
      <c r="B645" s="6"/>
      <c r="C645" s="6"/>
      <c r="D645" s="6"/>
      <c r="E645" s="6"/>
      <c r="F645" s="6"/>
    </row>
    <row r="646" spans="1:6" ht="15.75" thickBot="1">
      <c r="A646" s="6"/>
      <c r="B646" s="6"/>
      <c r="C646" s="6"/>
      <c r="D646" s="6"/>
      <c r="E646" s="6"/>
      <c r="F646" s="6"/>
    </row>
    <row r="647" spans="1:6" ht="15.75" thickBot="1">
      <c r="A647" s="6"/>
      <c r="B647" s="6"/>
      <c r="C647" s="6"/>
      <c r="D647" s="6"/>
      <c r="E647" s="6"/>
      <c r="F647" s="6"/>
    </row>
    <row r="648" spans="1:6" ht="15.75" thickBot="1">
      <c r="A648" s="6"/>
      <c r="B648" s="6"/>
      <c r="C648" s="6"/>
      <c r="D648" s="6"/>
      <c r="E648" s="6"/>
      <c r="F648" s="6"/>
    </row>
    <row r="649" spans="1:6" ht="15.75" thickBot="1">
      <c r="A649" s="6"/>
      <c r="B649" s="6"/>
      <c r="C649" s="6"/>
      <c r="D649" s="6"/>
      <c r="E649" s="6"/>
      <c r="F649" s="6"/>
    </row>
    <row r="650" spans="1:6" ht="15.75" thickBot="1">
      <c r="A650" s="6"/>
      <c r="B650" s="6"/>
      <c r="C650" s="6"/>
      <c r="D650" s="6"/>
      <c r="E650" s="6"/>
      <c r="F650" s="6"/>
    </row>
    <row r="651" spans="1:6" ht="15.75" thickBot="1">
      <c r="A651" s="6"/>
      <c r="B651" s="6"/>
      <c r="C651" s="6"/>
      <c r="D651" s="6"/>
      <c r="E651" s="6"/>
      <c r="F651" s="6"/>
    </row>
    <row r="652" spans="1:6" ht="15.75" thickBot="1">
      <c r="A652" s="6"/>
      <c r="B652" s="6"/>
      <c r="C652" s="6"/>
      <c r="D652" s="6"/>
      <c r="E652" s="6"/>
      <c r="F652" s="6"/>
    </row>
    <row r="653" spans="1:6" ht="15.75" thickBot="1">
      <c r="A653" s="6"/>
      <c r="B653" s="6"/>
      <c r="C653" s="6"/>
      <c r="D653" s="6"/>
      <c r="E653" s="6"/>
      <c r="F653" s="6"/>
    </row>
    <row r="654" spans="1:6" ht="15.75" thickBot="1">
      <c r="A654" s="6"/>
      <c r="B654" s="6"/>
      <c r="C654" s="6"/>
      <c r="D654" s="6"/>
      <c r="E654" s="6"/>
      <c r="F654" s="6"/>
    </row>
    <row r="655" spans="1:6" ht="15.75" thickBot="1">
      <c r="A655" s="6"/>
      <c r="B655" s="6"/>
      <c r="C655" s="6"/>
      <c r="D655" s="6"/>
      <c r="E655" s="6"/>
      <c r="F655" s="6"/>
    </row>
    <row r="656" spans="1:6" ht="15.75" thickBot="1">
      <c r="A656" s="6"/>
      <c r="B656" s="6"/>
      <c r="C656" s="6"/>
      <c r="D656" s="6"/>
      <c r="E656" s="6"/>
      <c r="F656" s="6"/>
    </row>
    <row r="657" spans="1:6" ht="15.75" thickBot="1">
      <c r="A657" s="6"/>
      <c r="B657" s="6"/>
      <c r="C657" s="6"/>
      <c r="D657" s="6"/>
      <c r="E657" s="6"/>
      <c r="F657" s="6"/>
    </row>
    <row r="658" spans="1:6" ht="15.75" thickBot="1">
      <c r="A658" s="6"/>
      <c r="B658" s="6"/>
      <c r="C658" s="6"/>
      <c r="D658" s="6"/>
      <c r="E658" s="6"/>
      <c r="F658" s="6"/>
    </row>
    <row r="659" spans="1:6" ht="15.75" thickBot="1">
      <c r="A659" s="6"/>
      <c r="B659" s="6"/>
      <c r="C659" s="6"/>
      <c r="D659" s="6"/>
      <c r="E659" s="6"/>
      <c r="F659" s="6"/>
    </row>
    <row r="660" spans="1:6" ht="15.75" thickBot="1">
      <c r="A660" s="6"/>
      <c r="B660" s="6"/>
      <c r="C660" s="6"/>
      <c r="D660" s="6"/>
      <c r="E660" s="6"/>
      <c r="F660" s="6"/>
    </row>
    <row r="661" spans="1:6" ht="15.75" thickBot="1">
      <c r="A661" s="6"/>
      <c r="B661" s="6"/>
      <c r="C661" s="6"/>
      <c r="D661" s="6"/>
      <c r="E661" s="6"/>
      <c r="F661" s="6"/>
    </row>
    <row r="662" spans="1:6" ht="15.75" thickBot="1">
      <c r="A662" s="6"/>
      <c r="B662" s="6"/>
      <c r="C662" s="6"/>
      <c r="D662" s="6"/>
      <c r="E662" s="6"/>
      <c r="F662" s="6"/>
    </row>
    <row r="663" spans="1:6" ht="15.75" thickBot="1">
      <c r="A663" s="6"/>
      <c r="B663" s="6"/>
      <c r="C663" s="6"/>
      <c r="D663" s="6"/>
      <c r="E663" s="6"/>
      <c r="F663" s="6"/>
    </row>
    <row r="664" spans="1:6" ht="15.75" thickBot="1">
      <c r="A664" s="6"/>
      <c r="B664" s="6"/>
      <c r="C664" s="6"/>
      <c r="D664" s="6"/>
      <c r="E664" s="6"/>
      <c r="F664" s="6"/>
    </row>
    <row r="665" spans="1:6" ht="15.75" thickBot="1">
      <c r="A665" s="6"/>
      <c r="B665" s="6"/>
      <c r="C665" s="6"/>
      <c r="D665" s="6"/>
      <c r="E665" s="6"/>
      <c r="F665" s="6"/>
    </row>
    <row r="666" spans="1:6" ht="15.75" thickBot="1">
      <c r="A666" s="6"/>
      <c r="B666" s="6"/>
      <c r="C666" s="6"/>
      <c r="D666" s="6"/>
      <c r="E666" s="6"/>
      <c r="F666" s="6"/>
    </row>
    <row r="667" spans="1:6" ht="15.75" thickBot="1">
      <c r="A667" s="6"/>
      <c r="B667" s="6"/>
      <c r="C667" s="6"/>
      <c r="D667" s="6"/>
      <c r="E667" s="6"/>
      <c r="F667" s="6"/>
    </row>
    <row r="668" spans="1:6" ht="15.75" thickBot="1">
      <c r="A668" s="6"/>
      <c r="B668" s="6"/>
      <c r="C668" s="6"/>
      <c r="D668" s="6"/>
      <c r="E668" s="6"/>
      <c r="F668" s="6"/>
    </row>
    <row r="669" spans="1:6" ht="15.75" thickBot="1">
      <c r="A669" s="6"/>
      <c r="B669" s="6"/>
      <c r="C669" s="6"/>
      <c r="D669" s="6"/>
      <c r="E669" s="6"/>
      <c r="F669" s="6"/>
    </row>
    <row r="670" spans="1:6" ht="15.75" thickBot="1">
      <c r="A670" s="6"/>
      <c r="B670" s="6"/>
      <c r="C670" s="6"/>
      <c r="D670" s="6"/>
      <c r="E670" s="6"/>
      <c r="F670" s="6"/>
    </row>
    <row r="671" spans="1:6" ht="15.75" thickBot="1">
      <c r="A671" s="6"/>
      <c r="B671" s="6"/>
      <c r="C671" s="6"/>
      <c r="D671" s="6"/>
      <c r="E671" s="6"/>
      <c r="F671" s="6"/>
    </row>
    <row r="672" spans="1:6" ht="15.75" thickBot="1">
      <c r="A672" s="6"/>
      <c r="B672" s="6"/>
      <c r="C672" s="6"/>
      <c r="D672" s="6"/>
      <c r="E672" s="6"/>
      <c r="F672" s="6"/>
    </row>
    <row r="673" spans="1:6" ht="15.75" thickBot="1">
      <c r="A673" s="6"/>
      <c r="B673" s="6"/>
      <c r="C673" s="6"/>
      <c r="D673" s="6"/>
      <c r="E673" s="6"/>
      <c r="F673" s="6"/>
    </row>
    <row r="674" spans="1:6" ht="15.75" thickBot="1">
      <c r="A674" s="6"/>
      <c r="B674" s="6"/>
      <c r="C674" s="6"/>
      <c r="D674" s="6"/>
      <c r="E674" s="6"/>
      <c r="F674" s="6"/>
    </row>
    <row r="675" spans="1:6" ht="15.75" thickBot="1">
      <c r="A675" s="6"/>
      <c r="B675" s="6"/>
      <c r="C675" s="6"/>
      <c r="D675" s="6"/>
      <c r="E675" s="6"/>
      <c r="F675" s="6"/>
    </row>
    <row r="676" spans="1:6" ht="15.75" thickBot="1">
      <c r="A676" s="6"/>
      <c r="B676" s="6"/>
      <c r="C676" s="6"/>
      <c r="D676" s="6"/>
      <c r="E676" s="6"/>
      <c r="F676" s="6"/>
    </row>
    <row r="677" spans="1:6" ht="15.75" thickBot="1">
      <c r="A677" s="6"/>
      <c r="B677" s="6"/>
      <c r="C677" s="6"/>
      <c r="D677" s="6"/>
      <c r="E677" s="6"/>
      <c r="F677" s="6"/>
    </row>
    <row r="678" spans="1:6" ht="15.75" thickBot="1">
      <c r="A678" s="6"/>
      <c r="B678" s="6"/>
      <c r="C678" s="6"/>
      <c r="D678" s="6"/>
      <c r="E678" s="6"/>
      <c r="F678" s="6"/>
    </row>
    <row r="679" spans="1:6" ht="15.75" thickBot="1">
      <c r="A679" s="6"/>
      <c r="B679" s="6"/>
      <c r="C679" s="6"/>
      <c r="D679" s="6"/>
      <c r="E679" s="6"/>
      <c r="F679" s="6"/>
    </row>
    <row r="680" spans="1:6" ht="15.75" thickBot="1">
      <c r="A680" s="6"/>
      <c r="B680" s="6"/>
      <c r="C680" s="6"/>
      <c r="D680" s="6"/>
      <c r="E680" s="6"/>
      <c r="F680" s="6"/>
    </row>
    <row r="681" spans="1:6" ht="15.75" thickBot="1">
      <c r="A681" s="6"/>
      <c r="B681" s="6"/>
      <c r="C681" s="6"/>
      <c r="D681" s="6"/>
      <c r="E681" s="6"/>
      <c r="F681" s="6"/>
    </row>
    <row r="682" spans="1:6" ht="15.75" thickBot="1">
      <c r="A682" s="6"/>
      <c r="B682" s="6"/>
      <c r="C682" s="6"/>
      <c r="D682" s="6"/>
      <c r="E682" s="6"/>
      <c r="F682" s="6"/>
    </row>
    <row r="683" spans="1:6" ht="15.75" thickBot="1">
      <c r="A683" s="6"/>
      <c r="B683" s="6"/>
      <c r="C683" s="6"/>
      <c r="D683" s="6"/>
      <c r="E683" s="6"/>
      <c r="F683" s="6"/>
    </row>
    <row r="684" spans="1:6" ht="15.75" thickBot="1">
      <c r="A684" s="6"/>
      <c r="B684" s="6"/>
      <c r="C684" s="6"/>
      <c r="D684" s="6"/>
      <c r="E684" s="6"/>
      <c r="F684" s="6"/>
    </row>
    <row r="685" spans="1:6" ht="15.75" thickBot="1">
      <c r="A685" s="6"/>
      <c r="B685" s="6"/>
      <c r="C685" s="6"/>
      <c r="D685" s="6"/>
      <c r="E685" s="6"/>
      <c r="F685" s="6"/>
    </row>
    <row r="686" spans="1:6" ht="15.75" thickBot="1">
      <c r="A686" s="6"/>
      <c r="B686" s="6"/>
      <c r="C686" s="6"/>
      <c r="D686" s="6"/>
      <c r="E686" s="6"/>
      <c r="F686" s="6"/>
    </row>
    <row r="687" spans="1:6" ht="15.75" thickBot="1">
      <c r="A687" s="6"/>
      <c r="B687" s="6"/>
      <c r="C687" s="6"/>
      <c r="D687" s="6"/>
      <c r="E687" s="6"/>
      <c r="F687" s="6"/>
    </row>
    <row r="688" spans="1:6" ht="15.75" thickBot="1">
      <c r="A688" s="6"/>
      <c r="B688" s="6"/>
      <c r="C688" s="6"/>
      <c r="D688" s="6"/>
      <c r="E688" s="6"/>
      <c r="F688" s="6"/>
    </row>
    <row r="689" spans="1:6" ht="15.75" thickBot="1">
      <c r="A689" s="6"/>
      <c r="B689" s="6"/>
      <c r="C689" s="6"/>
      <c r="D689" s="6"/>
      <c r="E689" s="6"/>
      <c r="F689" s="6"/>
    </row>
    <row r="690" spans="1:6" ht="15.75" thickBot="1">
      <c r="A690" s="6"/>
      <c r="B690" s="6"/>
      <c r="C690" s="6"/>
      <c r="D690" s="6"/>
      <c r="E690" s="6"/>
      <c r="F690" s="6"/>
    </row>
    <row r="691" spans="1:6" ht="15.75" thickBot="1">
      <c r="A691" s="6"/>
      <c r="B691" s="6"/>
      <c r="C691" s="6"/>
      <c r="D691" s="6"/>
      <c r="E691" s="6"/>
      <c r="F691" s="6"/>
    </row>
    <row r="692" spans="1:6" ht="15.75" thickBot="1">
      <c r="A692" s="6"/>
      <c r="B692" s="6"/>
      <c r="C692" s="6"/>
      <c r="D692" s="6"/>
      <c r="E692" s="6"/>
      <c r="F692" s="6"/>
    </row>
    <row r="693" spans="1:6" ht="15.75" thickBot="1">
      <c r="A693" s="6"/>
      <c r="B693" s="6"/>
      <c r="C693" s="6"/>
      <c r="D693" s="6"/>
      <c r="E693" s="6"/>
      <c r="F693" s="6"/>
    </row>
    <row r="694" spans="1:6" ht="15.75" thickBot="1">
      <c r="A694" s="6"/>
      <c r="B694" s="6"/>
      <c r="C694" s="6"/>
      <c r="D694" s="6"/>
      <c r="E694" s="6"/>
      <c r="F694" s="6"/>
    </row>
    <row r="695" spans="1:6" ht="15.75" thickBot="1">
      <c r="A695" s="6"/>
      <c r="B695" s="6"/>
      <c r="C695" s="6"/>
      <c r="D695" s="6"/>
      <c r="E695" s="6"/>
      <c r="F695" s="6"/>
    </row>
    <row r="696" spans="1:6" ht="15.75" thickBot="1">
      <c r="A696" s="6"/>
      <c r="B696" s="6"/>
      <c r="C696" s="6"/>
      <c r="D696" s="6"/>
      <c r="E696" s="6"/>
      <c r="F696" s="6"/>
    </row>
    <row r="697" spans="1:6" ht="15.75" thickBot="1">
      <c r="A697" s="6"/>
      <c r="B697" s="6"/>
      <c r="C697" s="6"/>
      <c r="D697" s="6"/>
      <c r="E697" s="6"/>
      <c r="F697" s="6"/>
    </row>
    <row r="698" spans="1:6" ht="15.75" thickBot="1">
      <c r="A698" s="6"/>
      <c r="B698" s="6"/>
      <c r="C698" s="6"/>
      <c r="D698" s="6"/>
      <c r="E698" s="6"/>
      <c r="F698" s="6"/>
    </row>
    <row r="699" spans="1:6" ht="15.75" thickBot="1">
      <c r="A699" s="6"/>
      <c r="B699" s="6"/>
      <c r="C699" s="6"/>
      <c r="D699" s="6"/>
      <c r="E699" s="6"/>
      <c r="F699" s="6"/>
    </row>
    <row r="700" spans="1:6" ht="15.75" thickBot="1">
      <c r="A700" s="6"/>
      <c r="B700" s="6"/>
      <c r="C700" s="6"/>
      <c r="D700" s="6"/>
      <c r="E700" s="6"/>
      <c r="F700" s="6"/>
    </row>
    <row r="701" spans="1:6" ht="15.75" thickBot="1">
      <c r="A701" s="6"/>
      <c r="B701" s="6"/>
      <c r="C701" s="6"/>
      <c r="D701" s="6"/>
      <c r="E701" s="6"/>
      <c r="F701" s="6"/>
    </row>
    <row r="702" spans="1:6" ht="15.75" thickBot="1">
      <c r="A702" s="6"/>
      <c r="B702" s="6"/>
      <c r="C702" s="6"/>
      <c r="D702" s="6"/>
      <c r="E702" s="6"/>
      <c r="F702" s="6"/>
    </row>
    <row r="703" spans="1:6" ht="15.75" thickBot="1">
      <c r="A703" s="6"/>
      <c r="B703" s="6"/>
      <c r="C703" s="6"/>
      <c r="D703" s="6"/>
      <c r="E703" s="6"/>
      <c r="F703" s="6"/>
    </row>
    <row r="704" spans="1:6" ht="15.75" thickBot="1">
      <c r="A704" s="6"/>
      <c r="B704" s="6"/>
      <c r="C704" s="6"/>
      <c r="D704" s="6"/>
      <c r="E704" s="6"/>
      <c r="F704" s="6"/>
    </row>
    <row r="705" spans="1:6" ht="15.75" thickBot="1">
      <c r="A705" s="6"/>
      <c r="B705" s="6"/>
      <c r="C705" s="6"/>
      <c r="D705" s="6"/>
      <c r="E705" s="6"/>
      <c r="F705" s="6"/>
    </row>
    <row r="706" spans="1:6" ht="15.75" thickBot="1">
      <c r="A706" s="6"/>
      <c r="B706" s="6"/>
      <c r="C706" s="6"/>
      <c r="D706" s="6"/>
      <c r="E706" s="6"/>
      <c r="F706" s="6"/>
    </row>
    <row r="707" spans="1:6" ht="15.75" thickBot="1">
      <c r="A707" s="6"/>
      <c r="B707" s="6"/>
      <c r="C707" s="6"/>
      <c r="D707" s="6"/>
      <c r="E707" s="6"/>
      <c r="F707" s="6"/>
    </row>
    <row r="708" spans="1:6" ht="15.75" thickBot="1">
      <c r="A708" s="6"/>
      <c r="B708" s="6"/>
      <c r="C708" s="6"/>
      <c r="D708" s="6"/>
      <c r="E708" s="6"/>
      <c r="F708" s="6"/>
    </row>
    <row r="709" spans="1:6" ht="15.75" thickBot="1">
      <c r="A709" s="6"/>
      <c r="B709" s="6"/>
      <c r="C709" s="6"/>
      <c r="D709" s="6"/>
      <c r="E709" s="6"/>
      <c r="F709" s="6"/>
    </row>
    <row r="710" spans="1:6" ht="15.75" thickBot="1">
      <c r="A710" s="6"/>
      <c r="B710" s="6"/>
      <c r="C710" s="6"/>
      <c r="D710" s="6"/>
      <c r="E710" s="6"/>
      <c r="F710" s="6"/>
    </row>
    <row r="711" spans="1:6" ht="15.75" thickBot="1">
      <c r="A711" s="6"/>
      <c r="B711" s="6"/>
      <c r="C711" s="6"/>
      <c r="D711" s="6"/>
      <c r="E711" s="6"/>
      <c r="F711" s="6"/>
    </row>
    <row r="712" spans="1:6" ht="15.75" thickBot="1">
      <c r="A712" s="6"/>
      <c r="B712" s="6"/>
      <c r="C712" s="6"/>
      <c r="D712" s="6"/>
      <c r="E712" s="6"/>
      <c r="F712" s="6"/>
    </row>
    <row r="713" spans="1:6" ht="15.75" thickBot="1">
      <c r="A713" s="6"/>
      <c r="B713" s="6"/>
      <c r="C713" s="6"/>
      <c r="D713" s="6"/>
      <c r="E713" s="6"/>
      <c r="F713" s="6"/>
    </row>
    <row r="714" spans="1:6" ht="15.75" thickBot="1">
      <c r="A714" s="6"/>
      <c r="B714" s="6"/>
      <c r="C714" s="6"/>
      <c r="D714" s="6"/>
      <c r="E714" s="6"/>
      <c r="F714" s="6"/>
    </row>
    <row r="715" spans="1:6" ht="15.75" thickBot="1">
      <c r="A715" s="6"/>
      <c r="B715" s="6"/>
      <c r="C715" s="6"/>
      <c r="D715" s="6"/>
      <c r="E715" s="6"/>
      <c r="F715" s="6"/>
    </row>
    <row r="716" spans="1:6" ht="15.75" thickBot="1">
      <c r="A716" s="6"/>
      <c r="B716" s="6"/>
      <c r="C716" s="6"/>
      <c r="D716" s="6"/>
      <c r="E716" s="6"/>
      <c r="F716" s="6"/>
    </row>
    <row r="717" spans="1:6" ht="15.75" thickBot="1">
      <c r="A717" s="6"/>
      <c r="B717" s="6"/>
      <c r="C717" s="6"/>
      <c r="D717" s="6"/>
      <c r="E717" s="6"/>
      <c r="F717" s="6"/>
    </row>
    <row r="718" spans="1:6" ht="15.75" thickBot="1">
      <c r="A718" s="6"/>
      <c r="B718" s="6"/>
      <c r="C718" s="6"/>
      <c r="D718" s="6"/>
      <c r="E718" s="6"/>
      <c r="F718" s="6"/>
    </row>
    <row r="719" spans="1:6" ht="15.75" thickBot="1">
      <c r="A719" s="6"/>
      <c r="B719" s="6"/>
      <c r="C719" s="6"/>
      <c r="D719" s="6"/>
      <c r="E719" s="6"/>
      <c r="F719" s="6"/>
    </row>
    <row r="720" spans="1:6" ht="15.75" thickBot="1">
      <c r="A720" s="6"/>
      <c r="B720" s="6"/>
      <c r="C720" s="6"/>
      <c r="D720" s="6"/>
      <c r="E720" s="6"/>
      <c r="F720" s="6"/>
    </row>
    <row r="721" spans="1:6" ht="15.75" thickBot="1">
      <c r="A721" s="6"/>
      <c r="B721" s="6"/>
      <c r="C721" s="6"/>
      <c r="D721" s="6"/>
      <c r="E721" s="6"/>
      <c r="F721" s="6"/>
    </row>
    <row r="722" spans="1:6" ht="15.75" thickBot="1">
      <c r="A722" s="6"/>
      <c r="B722" s="6"/>
      <c r="C722" s="6"/>
      <c r="D722" s="6"/>
      <c r="E722" s="6"/>
      <c r="F722" s="6"/>
    </row>
    <row r="723" spans="1:6" ht="15.75" thickBot="1">
      <c r="A723" s="6"/>
      <c r="B723" s="6"/>
      <c r="C723" s="6"/>
      <c r="D723" s="6"/>
      <c r="E723" s="6"/>
      <c r="F723" s="6"/>
    </row>
    <row r="724" spans="1:6" ht="15.75" thickBot="1">
      <c r="A724" s="6"/>
      <c r="B724" s="6"/>
      <c r="C724" s="6"/>
      <c r="D724" s="6"/>
      <c r="E724" s="6"/>
      <c r="F724" s="6"/>
    </row>
    <row r="725" spans="1:6" ht="15.75" thickBot="1">
      <c r="A725" s="6"/>
      <c r="B725" s="6"/>
      <c r="C725" s="6"/>
      <c r="D725" s="6"/>
      <c r="E725" s="6"/>
      <c r="F725" s="6"/>
    </row>
    <row r="726" spans="1:6" ht="15.75" thickBot="1">
      <c r="A726" s="6"/>
      <c r="B726" s="6"/>
      <c r="C726" s="6"/>
      <c r="D726" s="6"/>
      <c r="E726" s="6"/>
      <c r="F726" s="6"/>
    </row>
    <row r="727" spans="1:6" ht="15.75" thickBot="1">
      <c r="A727" s="6"/>
      <c r="B727" s="6"/>
      <c r="C727" s="6"/>
      <c r="D727" s="6"/>
      <c r="E727" s="6"/>
      <c r="F727" s="6"/>
    </row>
    <row r="728" spans="1:6" ht="15.75" thickBot="1">
      <c r="A728" s="6"/>
      <c r="B728" s="6"/>
      <c r="C728" s="6"/>
      <c r="D728" s="6"/>
      <c r="E728" s="6"/>
      <c r="F728" s="6"/>
    </row>
    <row r="729" spans="1:6" ht="15.75" thickBot="1">
      <c r="A729" s="6"/>
      <c r="B729" s="6"/>
      <c r="C729" s="6"/>
      <c r="D729" s="6"/>
      <c r="E729" s="6"/>
      <c r="F729" s="6"/>
    </row>
    <row r="730" spans="1:6" ht="15.75" thickBot="1">
      <c r="A730" s="6"/>
      <c r="B730" s="6"/>
      <c r="C730" s="6"/>
      <c r="D730" s="6"/>
      <c r="E730" s="6"/>
      <c r="F730" s="6"/>
    </row>
    <row r="731" spans="1:6" ht="15.75" thickBot="1">
      <c r="A731" s="6"/>
      <c r="B731" s="6"/>
      <c r="C731" s="6"/>
      <c r="D731" s="6"/>
      <c r="E731" s="6"/>
      <c r="F731" s="6"/>
    </row>
    <row r="732" spans="1:6" ht="15.75" thickBot="1">
      <c r="A732" s="6"/>
      <c r="B732" s="6"/>
      <c r="C732" s="6"/>
      <c r="D732" s="6"/>
      <c r="E732" s="6"/>
      <c r="F732" s="6"/>
    </row>
    <row r="733" spans="1:6" ht="15.75" thickBot="1">
      <c r="A733" s="6"/>
      <c r="B733" s="6"/>
      <c r="C733" s="6"/>
      <c r="D733" s="6"/>
      <c r="E733" s="6"/>
      <c r="F733" s="6"/>
    </row>
    <row r="734" spans="1:6" ht="15.75" thickBot="1">
      <c r="A734" s="6"/>
      <c r="B734" s="6"/>
      <c r="C734" s="6"/>
      <c r="D734" s="6"/>
      <c r="E734" s="6"/>
      <c r="F734" s="6"/>
    </row>
    <row r="735" spans="1:6" ht="15.75" thickBot="1">
      <c r="A735" s="6"/>
      <c r="B735" s="6"/>
      <c r="C735" s="6"/>
      <c r="D735" s="6"/>
      <c r="E735" s="6"/>
      <c r="F735" s="6"/>
    </row>
    <row r="736" spans="1:6" ht="15.75" thickBot="1">
      <c r="A736" s="6"/>
      <c r="B736" s="6"/>
      <c r="C736" s="6"/>
      <c r="D736" s="6"/>
      <c r="E736" s="6"/>
      <c r="F736" s="6"/>
    </row>
    <row r="737" spans="1:6" ht="15.75" thickBot="1">
      <c r="A737" s="6"/>
      <c r="B737" s="6"/>
      <c r="C737" s="6"/>
      <c r="D737" s="6"/>
      <c r="E737" s="6"/>
      <c r="F737" s="6"/>
    </row>
    <row r="738" spans="1:6" ht="15.75" thickBot="1">
      <c r="A738" s="6"/>
      <c r="B738" s="6"/>
      <c r="C738" s="6"/>
      <c r="D738" s="6"/>
      <c r="E738" s="6"/>
      <c r="F738" s="6"/>
    </row>
    <row r="739" spans="1:6" ht="15.75" thickBot="1">
      <c r="A739" s="6"/>
      <c r="B739" s="6"/>
      <c r="C739" s="6"/>
      <c r="D739" s="6"/>
      <c r="E739" s="6"/>
      <c r="F739" s="6"/>
    </row>
    <row r="740" spans="1:6" ht="15.75" thickBot="1">
      <c r="A740" s="6"/>
      <c r="B740" s="6"/>
      <c r="C740" s="6"/>
      <c r="D740" s="6"/>
      <c r="E740" s="6"/>
      <c r="F740" s="6"/>
    </row>
    <row r="741" spans="1:6" ht="15.75" thickBot="1">
      <c r="A741" s="6"/>
      <c r="B741" s="6"/>
      <c r="C741" s="6"/>
      <c r="D741" s="6"/>
      <c r="E741" s="6"/>
      <c r="F741" s="6"/>
    </row>
    <row r="742" spans="1:6" ht="15.75" thickBot="1">
      <c r="A742" s="6"/>
      <c r="B742" s="6"/>
      <c r="C742" s="6"/>
      <c r="D742" s="6"/>
      <c r="E742" s="6"/>
      <c r="F742" s="6"/>
    </row>
    <row r="743" spans="1:6" ht="15.75" thickBot="1">
      <c r="A743" s="6"/>
      <c r="B743" s="6"/>
      <c r="C743" s="6"/>
      <c r="D743" s="6"/>
      <c r="E743" s="6"/>
      <c r="F743" s="6"/>
    </row>
    <row r="744" spans="1:6" ht="15.75" thickBot="1">
      <c r="A744" s="6"/>
      <c r="B744" s="6"/>
      <c r="C744" s="6"/>
      <c r="D744" s="6"/>
      <c r="E744" s="6"/>
      <c r="F744" s="6"/>
    </row>
    <row r="745" spans="1:6" ht="15.75" thickBot="1">
      <c r="A745" s="6"/>
      <c r="B745" s="6"/>
      <c r="C745" s="6"/>
      <c r="D745" s="6"/>
      <c r="E745" s="6"/>
      <c r="F745" s="6"/>
    </row>
    <row r="746" spans="1:6" ht="15.75" thickBot="1">
      <c r="A746" s="6"/>
      <c r="B746" s="6"/>
      <c r="C746" s="6"/>
      <c r="D746" s="6"/>
      <c r="E746" s="6"/>
      <c r="F746" s="6"/>
    </row>
    <row r="747" spans="1:6" ht="15.75" thickBot="1">
      <c r="A747" s="6"/>
      <c r="B747" s="6"/>
      <c r="C747" s="6"/>
      <c r="D747" s="6"/>
      <c r="E747" s="6"/>
      <c r="F747" s="6"/>
    </row>
    <row r="748" spans="1:6" ht="15.75" thickBot="1">
      <c r="A748" s="6"/>
      <c r="B748" s="6"/>
      <c r="C748" s="6"/>
      <c r="D748" s="6"/>
      <c r="E748" s="6"/>
      <c r="F748" s="6"/>
    </row>
    <row r="749" spans="1:6" ht="15.75" thickBot="1">
      <c r="A749" s="6"/>
      <c r="B749" s="6"/>
      <c r="C749" s="6"/>
      <c r="D749" s="6"/>
      <c r="E749" s="6"/>
      <c r="F749" s="6"/>
    </row>
    <row r="750" spans="1:6" ht="15.75" thickBot="1">
      <c r="A750" s="6"/>
      <c r="B750" s="6"/>
      <c r="C750" s="6"/>
      <c r="D750" s="6"/>
      <c r="E750" s="6"/>
      <c r="F750" s="6"/>
    </row>
    <row r="751" spans="1:6" ht="15.75" thickBot="1">
      <c r="A751" s="6"/>
      <c r="B751" s="6"/>
      <c r="C751" s="6"/>
      <c r="D751" s="6"/>
      <c r="E751" s="6"/>
      <c r="F751" s="6"/>
    </row>
    <row r="752" spans="1:6" ht="15.75" thickBot="1">
      <c r="A752" s="6"/>
      <c r="B752" s="6"/>
      <c r="C752" s="6"/>
      <c r="D752" s="6"/>
      <c r="E752" s="6"/>
      <c r="F752" s="6"/>
    </row>
    <row r="753" spans="1:6" ht="15.75" thickBot="1">
      <c r="A753" s="6"/>
      <c r="B753" s="6"/>
      <c r="C753" s="6"/>
      <c r="D753" s="6"/>
      <c r="E753" s="6"/>
      <c r="F753" s="6"/>
    </row>
    <row r="754" spans="1:6" ht="15.75" thickBot="1">
      <c r="A754" s="6"/>
      <c r="B754" s="6"/>
      <c r="C754" s="6"/>
      <c r="D754" s="6"/>
      <c r="E754" s="6"/>
      <c r="F754" s="6"/>
    </row>
    <row r="755" spans="1:6" ht="15.75" thickBot="1">
      <c r="A755" s="6"/>
      <c r="B755" s="6"/>
      <c r="C755" s="6"/>
      <c r="D755" s="6"/>
      <c r="E755" s="6"/>
      <c r="F755" s="6"/>
    </row>
    <row r="756" spans="1:6" ht="15.75" thickBot="1">
      <c r="A756" s="6"/>
      <c r="B756" s="6"/>
      <c r="C756" s="6"/>
      <c r="D756" s="6"/>
      <c r="E756" s="6"/>
      <c r="F756" s="6"/>
    </row>
    <row r="757" spans="1:6" ht="15.75" thickBot="1">
      <c r="A757" s="6"/>
      <c r="B757" s="6"/>
      <c r="C757" s="6"/>
      <c r="D757" s="6"/>
      <c r="E757" s="6"/>
      <c r="F757" s="6"/>
    </row>
    <row r="758" spans="1:6" ht="15.75" thickBot="1">
      <c r="A758" s="6"/>
      <c r="B758" s="6"/>
      <c r="C758" s="6"/>
      <c r="D758" s="6"/>
      <c r="E758" s="6"/>
      <c r="F758" s="6"/>
    </row>
    <row r="759" spans="1:6" ht="15.75" thickBot="1">
      <c r="A759" s="6"/>
      <c r="B759" s="6"/>
      <c r="C759" s="6"/>
      <c r="D759" s="6"/>
      <c r="E759" s="6"/>
      <c r="F759" s="6"/>
    </row>
    <row r="760" spans="1:6" ht="15.75" thickBot="1">
      <c r="A760" s="6"/>
      <c r="B760" s="6"/>
      <c r="C760" s="6"/>
      <c r="D760" s="6"/>
      <c r="E760" s="6"/>
      <c r="F760" s="6"/>
    </row>
    <row r="761" spans="1:6" ht="15.75" thickBot="1">
      <c r="A761" s="6"/>
      <c r="B761" s="6"/>
      <c r="C761" s="6"/>
      <c r="D761" s="6"/>
      <c r="E761" s="6"/>
      <c r="F761" s="6"/>
    </row>
    <row r="762" spans="1:6" ht="15.75" thickBot="1">
      <c r="A762" s="6"/>
      <c r="B762" s="6"/>
      <c r="C762" s="6"/>
      <c r="D762" s="6"/>
      <c r="E762" s="6"/>
      <c r="F762" s="6"/>
    </row>
    <row r="763" spans="1:6" ht="15.75" thickBot="1">
      <c r="A763" s="6"/>
      <c r="B763" s="6"/>
      <c r="C763" s="6"/>
      <c r="D763" s="6"/>
      <c r="E763" s="6"/>
      <c r="F763" s="6"/>
    </row>
    <row r="764" spans="1:6" ht="15.75" thickBot="1">
      <c r="A764" s="6"/>
      <c r="B764" s="6"/>
      <c r="C764" s="6"/>
      <c r="D764" s="6"/>
      <c r="E764" s="6"/>
      <c r="F764" s="6"/>
    </row>
    <row r="765" spans="1:6" ht="15.75" thickBot="1">
      <c r="A765" s="6"/>
      <c r="B765" s="6"/>
      <c r="C765" s="6"/>
      <c r="D765" s="6"/>
      <c r="E765" s="6"/>
      <c r="F765" s="6"/>
    </row>
    <row r="766" spans="1:6" ht="15.75" thickBot="1">
      <c r="A766" s="6"/>
      <c r="B766" s="6"/>
      <c r="C766" s="6"/>
      <c r="D766" s="6"/>
      <c r="E766" s="6"/>
      <c r="F766" s="6"/>
    </row>
    <row r="767" spans="1:6" ht="15.75" thickBot="1">
      <c r="A767" s="6"/>
      <c r="B767" s="6"/>
      <c r="C767" s="6"/>
      <c r="D767" s="6"/>
      <c r="E767" s="6"/>
      <c r="F767" s="6"/>
    </row>
    <row r="768" spans="1:6" ht="15.75" thickBot="1">
      <c r="A768" s="6"/>
      <c r="B768" s="6"/>
      <c r="C768" s="6"/>
      <c r="D768" s="6"/>
      <c r="E768" s="6"/>
      <c r="F768" s="6"/>
    </row>
    <row r="769" spans="1:6" ht="15.75" thickBot="1">
      <c r="A769" s="6"/>
      <c r="B769" s="6"/>
      <c r="C769" s="6"/>
      <c r="D769" s="6"/>
      <c r="E769" s="6"/>
      <c r="F769" s="6"/>
    </row>
    <row r="770" spans="1:6" ht="15.75" thickBot="1">
      <c r="A770" s="6"/>
      <c r="B770" s="6"/>
      <c r="C770" s="6"/>
      <c r="D770" s="6"/>
      <c r="E770" s="6"/>
      <c r="F770" s="6"/>
    </row>
    <row r="771" spans="1:6" ht="15.75" thickBot="1">
      <c r="A771" s="6"/>
      <c r="B771" s="6"/>
      <c r="C771" s="6"/>
      <c r="D771" s="6"/>
      <c r="E771" s="6"/>
      <c r="F771" s="6"/>
    </row>
    <row r="772" spans="1:6" ht="15.75" thickBot="1">
      <c r="A772" s="6"/>
      <c r="B772" s="6"/>
      <c r="C772" s="6"/>
      <c r="D772" s="6"/>
      <c r="E772" s="6"/>
      <c r="F772" s="6"/>
    </row>
    <row r="773" spans="1:6" ht="15.75" thickBot="1">
      <c r="A773" s="6"/>
      <c r="B773" s="6"/>
      <c r="C773" s="6"/>
      <c r="D773" s="6"/>
      <c r="E773" s="6"/>
      <c r="F773" s="6"/>
    </row>
    <row r="774" spans="1:6" ht="15.75" thickBot="1">
      <c r="A774" s="6"/>
      <c r="B774" s="6"/>
      <c r="C774" s="6"/>
      <c r="D774" s="6"/>
      <c r="E774" s="6"/>
      <c r="F774" s="6"/>
    </row>
    <row r="775" spans="1:6" ht="15.75" thickBot="1">
      <c r="A775" s="6"/>
      <c r="B775" s="6"/>
      <c r="C775" s="6"/>
      <c r="D775" s="6"/>
      <c r="E775" s="6"/>
      <c r="F775" s="6"/>
    </row>
    <row r="776" spans="1:6" ht="15.75" thickBot="1">
      <c r="A776" s="6"/>
      <c r="B776" s="6"/>
      <c r="C776" s="6"/>
      <c r="D776" s="6"/>
      <c r="E776" s="6"/>
      <c r="F776" s="6"/>
    </row>
    <row r="777" spans="1:6" ht="15.75" thickBot="1">
      <c r="A777" s="6"/>
      <c r="B777" s="6"/>
      <c r="C777" s="6"/>
      <c r="D777" s="6"/>
      <c r="E777" s="6"/>
      <c r="F777" s="6"/>
    </row>
    <row r="778" spans="1:6" ht="15.75" thickBot="1">
      <c r="A778" s="6"/>
      <c r="B778" s="6"/>
      <c r="C778" s="6"/>
      <c r="D778" s="6"/>
      <c r="E778" s="6"/>
      <c r="F778" s="6"/>
    </row>
    <row r="779" spans="1:6" ht="15.75" thickBot="1">
      <c r="A779" s="6"/>
      <c r="B779" s="6"/>
      <c r="C779" s="6"/>
      <c r="D779" s="6"/>
      <c r="E779" s="6"/>
      <c r="F779" s="6"/>
    </row>
    <row r="780" spans="1:6" ht="15.75" thickBot="1">
      <c r="A780" s="6"/>
      <c r="B780" s="6"/>
      <c r="C780" s="6"/>
      <c r="D780" s="6"/>
      <c r="E780" s="6"/>
      <c r="F780" s="6"/>
    </row>
    <row r="781" spans="1:6" ht="15.75" thickBot="1">
      <c r="A781" s="6"/>
      <c r="B781" s="6"/>
      <c r="C781" s="6"/>
      <c r="D781" s="6"/>
      <c r="E781" s="6"/>
      <c r="F781" s="6"/>
    </row>
    <row r="782" spans="1:6" ht="15.75" thickBot="1">
      <c r="A782" s="6"/>
      <c r="B782" s="6"/>
      <c r="C782" s="6"/>
      <c r="D782" s="6"/>
      <c r="E782" s="6"/>
      <c r="F782" s="6"/>
    </row>
    <row r="783" spans="1:6" ht="15.75" thickBot="1">
      <c r="A783" s="6"/>
      <c r="B783" s="6"/>
      <c r="C783" s="6"/>
      <c r="D783" s="6"/>
      <c r="E783" s="6"/>
      <c r="F783" s="6"/>
    </row>
    <row r="784" spans="1:6" ht="15.75" thickBot="1">
      <c r="A784" s="6"/>
      <c r="B784" s="6"/>
      <c r="C784" s="6"/>
      <c r="D784" s="6"/>
      <c r="E784" s="6"/>
      <c r="F784" s="6"/>
    </row>
    <row r="785" spans="1:6" ht="15.75" thickBot="1">
      <c r="A785" s="6"/>
      <c r="B785" s="6"/>
      <c r="C785" s="6"/>
      <c r="D785" s="6"/>
      <c r="E785" s="6"/>
      <c r="F785" s="6"/>
    </row>
    <row r="786" spans="1:6" ht="15.75" thickBot="1">
      <c r="A786" s="6"/>
      <c r="B786" s="6"/>
      <c r="C786" s="6"/>
      <c r="D786" s="6"/>
      <c r="E786" s="6"/>
      <c r="F786" s="6"/>
    </row>
    <row r="787" spans="1:6" ht="15.75" thickBot="1">
      <c r="A787" s="6"/>
      <c r="B787" s="6"/>
      <c r="C787" s="6"/>
      <c r="D787" s="6"/>
      <c r="E787" s="6"/>
      <c r="F787" s="6"/>
    </row>
    <row r="788" spans="1:6" ht="15.75" thickBot="1">
      <c r="A788" s="6"/>
      <c r="B788" s="6"/>
      <c r="C788" s="6"/>
      <c r="D788" s="6"/>
      <c r="E788" s="6"/>
      <c r="F788" s="6"/>
    </row>
    <row r="789" spans="1:6" ht="15.75" thickBot="1">
      <c r="A789" s="6"/>
      <c r="B789" s="6"/>
      <c r="C789" s="6"/>
      <c r="D789" s="6"/>
      <c r="E789" s="6"/>
      <c r="F789" s="6"/>
    </row>
    <row r="790" spans="1:6" ht="15.75" thickBot="1">
      <c r="A790" s="6"/>
      <c r="B790" s="6"/>
      <c r="C790" s="6"/>
      <c r="D790" s="6"/>
      <c r="E790" s="6"/>
      <c r="F790" s="6"/>
    </row>
    <row r="791" spans="1:6" ht="15.75" thickBot="1">
      <c r="A791" s="6"/>
      <c r="B791" s="6"/>
      <c r="C791" s="6"/>
      <c r="D791" s="6"/>
      <c r="E791" s="6"/>
      <c r="F791" s="6"/>
    </row>
    <row r="792" spans="1:6" ht="15.75" thickBot="1">
      <c r="A792" s="6"/>
      <c r="B792" s="6"/>
      <c r="C792" s="6"/>
      <c r="D792" s="6"/>
      <c r="E792" s="6"/>
      <c r="F792" s="6"/>
    </row>
    <row r="793" spans="1:6" ht="15.75" thickBot="1">
      <c r="A793" s="6"/>
      <c r="B793" s="6"/>
      <c r="C793" s="6"/>
      <c r="D793" s="6"/>
      <c r="E793" s="6"/>
      <c r="F793" s="6"/>
    </row>
    <row r="794" spans="1:6" ht="15.75" thickBot="1">
      <c r="A794" s="6"/>
      <c r="B794" s="6"/>
      <c r="C794" s="6"/>
      <c r="D794" s="6"/>
      <c r="E794" s="6"/>
      <c r="F794" s="6"/>
    </row>
    <row r="795" spans="1:6" ht="15.75" thickBot="1">
      <c r="A795" s="6"/>
      <c r="B795" s="6"/>
      <c r="C795" s="6"/>
      <c r="D795" s="6"/>
      <c r="E795" s="6"/>
      <c r="F795" s="6"/>
    </row>
    <row r="796" spans="1:6" ht="15.75" thickBot="1">
      <c r="A796" s="6"/>
      <c r="B796" s="6"/>
      <c r="C796" s="6"/>
      <c r="D796" s="6"/>
      <c r="E796" s="6"/>
      <c r="F796" s="6"/>
    </row>
    <row r="797" spans="1:6" ht="15.75" thickBot="1">
      <c r="A797" s="6"/>
      <c r="B797" s="6"/>
      <c r="C797" s="6"/>
      <c r="D797" s="6"/>
      <c r="E797" s="6"/>
      <c r="F797" s="6"/>
    </row>
    <row r="798" spans="1:6" ht="15.75" thickBot="1">
      <c r="A798" s="6"/>
      <c r="B798" s="6"/>
      <c r="C798" s="6"/>
      <c r="D798" s="6"/>
      <c r="E798" s="6"/>
      <c r="F798" s="6"/>
    </row>
    <row r="799" spans="1:6" ht="15.75" thickBot="1">
      <c r="A799" s="6"/>
      <c r="B799" s="6"/>
      <c r="C799" s="6"/>
      <c r="D799" s="6"/>
      <c r="E799" s="6"/>
      <c r="F799" s="6"/>
    </row>
    <row r="800" spans="1:6" ht="15.75" thickBot="1">
      <c r="A800" s="6"/>
      <c r="B800" s="6"/>
      <c r="C800" s="6"/>
      <c r="D800" s="6"/>
      <c r="E800" s="6"/>
      <c r="F800" s="6"/>
    </row>
    <row r="801" spans="1:6" ht="15.75" thickBot="1">
      <c r="A801" s="6"/>
      <c r="B801" s="6"/>
      <c r="C801" s="6"/>
      <c r="D801" s="6"/>
      <c r="E801" s="6"/>
      <c r="F801" s="6"/>
    </row>
    <row r="802" spans="1:6" ht="15.75" thickBot="1">
      <c r="A802" s="6"/>
      <c r="B802" s="6"/>
      <c r="C802" s="6"/>
      <c r="D802" s="6"/>
      <c r="E802" s="6"/>
      <c r="F802" s="6"/>
    </row>
    <row r="803" spans="1:6" ht="15.75" thickBot="1">
      <c r="A803" s="6"/>
      <c r="B803" s="6"/>
      <c r="C803" s="6"/>
      <c r="D803" s="6"/>
      <c r="E803" s="6"/>
      <c r="F803" s="6"/>
    </row>
    <row r="804" spans="1:6" ht="15.75" thickBot="1">
      <c r="A804" s="6"/>
      <c r="B804" s="6"/>
      <c r="C804" s="6"/>
      <c r="D804" s="6"/>
      <c r="E804" s="6"/>
      <c r="F804" s="6"/>
    </row>
    <row r="805" spans="1:6" ht="15.75" thickBot="1">
      <c r="A805" s="6"/>
      <c r="B805" s="6"/>
      <c r="C805" s="6"/>
      <c r="D805" s="6"/>
      <c r="E805" s="6"/>
      <c r="F805" s="6"/>
    </row>
    <row r="806" spans="1:6" ht="15.75" thickBot="1">
      <c r="A806" s="6"/>
      <c r="B806" s="6"/>
      <c r="C806" s="6"/>
      <c r="D806" s="6"/>
      <c r="E806" s="6"/>
      <c r="F806" s="6"/>
    </row>
    <row r="807" spans="1:6" ht="15.75" thickBot="1">
      <c r="A807" s="6"/>
      <c r="B807" s="6"/>
      <c r="C807" s="6"/>
      <c r="D807" s="6"/>
      <c r="E807" s="6"/>
      <c r="F807" s="6"/>
    </row>
    <row r="808" spans="1:6" ht="15.75" thickBot="1">
      <c r="A808" s="6"/>
      <c r="B808" s="6"/>
      <c r="C808" s="6"/>
      <c r="D808" s="6"/>
      <c r="E808" s="6"/>
      <c r="F808" s="6"/>
    </row>
    <row r="809" spans="1:6" ht="15.75" thickBot="1">
      <c r="A809" s="6"/>
      <c r="B809" s="6"/>
      <c r="C809" s="6"/>
      <c r="D809" s="6"/>
      <c r="E809" s="6"/>
      <c r="F809" s="6"/>
    </row>
    <row r="810" spans="1:6" ht="15.75" thickBot="1">
      <c r="A810" s="6"/>
      <c r="B810" s="6"/>
      <c r="C810" s="6"/>
      <c r="D810" s="6"/>
      <c r="E810" s="6"/>
      <c r="F810" s="6"/>
    </row>
    <row r="811" spans="1:6" ht="15.75" thickBot="1">
      <c r="A811" s="6"/>
      <c r="B811" s="6"/>
      <c r="C811" s="6"/>
      <c r="D811" s="6"/>
      <c r="E811" s="6"/>
      <c r="F811" s="6"/>
    </row>
    <row r="812" spans="1:6" ht="15.75" thickBot="1">
      <c r="A812" s="6"/>
      <c r="B812" s="6"/>
      <c r="C812" s="6"/>
      <c r="D812" s="6"/>
      <c r="E812" s="6"/>
      <c r="F812" s="6"/>
    </row>
    <row r="813" spans="1:6" ht="15.75" thickBot="1">
      <c r="A813" s="6"/>
      <c r="B813" s="6"/>
      <c r="C813" s="6"/>
      <c r="D813" s="6"/>
      <c r="E813" s="6"/>
      <c r="F813" s="6"/>
    </row>
    <row r="814" spans="1:6" ht="15.75" thickBot="1">
      <c r="A814" s="6"/>
      <c r="B814" s="6"/>
      <c r="C814" s="6"/>
      <c r="D814" s="6"/>
      <c r="E814" s="6"/>
      <c r="F814" s="6"/>
    </row>
    <row r="815" spans="1:6" ht="15.75" thickBot="1">
      <c r="A815" s="6"/>
      <c r="B815" s="6"/>
      <c r="C815" s="6"/>
      <c r="D815" s="6"/>
      <c r="E815" s="6"/>
      <c r="F815" s="6"/>
    </row>
    <row r="816" spans="1:6" ht="15.75" thickBot="1">
      <c r="A816" s="6"/>
      <c r="B816" s="6"/>
      <c r="C816" s="6"/>
      <c r="D816" s="6"/>
      <c r="E816" s="6"/>
      <c r="F816" s="6"/>
    </row>
    <row r="817" spans="1:6" ht="15.75" thickBot="1">
      <c r="A817" s="6"/>
      <c r="B817" s="6"/>
      <c r="C817" s="6"/>
      <c r="D817" s="6"/>
      <c r="E817" s="6"/>
      <c r="F817" s="6"/>
    </row>
    <row r="818" spans="1:6" ht="15.75" thickBot="1">
      <c r="A818" s="6"/>
      <c r="B818" s="6"/>
      <c r="C818" s="6"/>
      <c r="D818" s="6"/>
      <c r="E818" s="6"/>
      <c r="F818" s="6"/>
    </row>
    <row r="819" spans="1:6" ht="15.75" thickBot="1">
      <c r="A819" s="6"/>
      <c r="B819" s="6"/>
      <c r="C819" s="6"/>
      <c r="D819" s="6"/>
      <c r="E819" s="6"/>
      <c r="F819" s="6"/>
    </row>
    <row r="820" spans="1:6" ht="15.75" thickBot="1">
      <c r="A820" s="6"/>
      <c r="B820" s="6"/>
      <c r="C820" s="6"/>
      <c r="D820" s="6"/>
      <c r="E820" s="6"/>
      <c r="F820" s="6"/>
    </row>
    <row r="821" spans="1:6" ht="15.75" thickBot="1">
      <c r="A821" s="6"/>
      <c r="B821" s="6"/>
      <c r="C821" s="6"/>
      <c r="D821" s="6"/>
      <c r="E821" s="6"/>
      <c r="F821" s="6"/>
    </row>
    <row r="822" spans="1:6" ht="15.75" thickBot="1">
      <c r="A822" s="6"/>
      <c r="B822" s="6"/>
      <c r="C822" s="6"/>
      <c r="D822" s="6"/>
      <c r="E822" s="6"/>
      <c r="F822" s="6"/>
    </row>
    <row r="823" spans="1:6" ht="15.75" thickBot="1">
      <c r="A823" s="6"/>
      <c r="B823" s="6"/>
      <c r="C823" s="6"/>
      <c r="D823" s="6"/>
      <c r="E823" s="6"/>
      <c r="F823" s="6"/>
    </row>
    <row r="824" spans="1:6" ht="15.75" thickBot="1">
      <c r="A824" s="6"/>
      <c r="B824" s="6"/>
      <c r="C824" s="6"/>
      <c r="D824" s="6"/>
      <c r="E824" s="6"/>
      <c r="F824" s="6"/>
    </row>
    <row r="825" spans="1:6" ht="15.75" thickBot="1">
      <c r="A825" s="6"/>
      <c r="B825" s="6"/>
      <c r="C825" s="6"/>
      <c r="D825" s="6"/>
      <c r="E825" s="6"/>
      <c r="F825" s="6"/>
    </row>
    <row r="826" spans="1:6" ht="15.75" thickBot="1">
      <c r="A826" s="6"/>
      <c r="B826" s="6"/>
      <c r="C826" s="6"/>
      <c r="D826" s="6"/>
      <c r="E826" s="6"/>
      <c r="F826" s="6"/>
    </row>
    <row r="827" spans="1:6" ht="15.75" thickBot="1">
      <c r="A827" s="6"/>
      <c r="B827" s="6"/>
      <c r="C827" s="6"/>
      <c r="D827" s="6"/>
      <c r="E827" s="6"/>
      <c r="F827" s="6"/>
    </row>
    <row r="828" spans="1:6" ht="15.75" thickBot="1">
      <c r="A828" s="6"/>
      <c r="B828" s="6"/>
      <c r="C828" s="6"/>
      <c r="D828" s="6"/>
      <c r="E828" s="6"/>
      <c r="F828" s="6"/>
    </row>
    <row r="829" spans="1:6" ht="15.75" thickBot="1">
      <c r="A829" s="6"/>
      <c r="B829" s="6"/>
      <c r="C829" s="6"/>
      <c r="D829" s="6"/>
      <c r="E829" s="6"/>
      <c r="F829" s="6"/>
    </row>
    <row r="830" spans="1:6" ht="15.75" thickBot="1">
      <c r="A830" s="6"/>
      <c r="B830" s="6"/>
      <c r="C830" s="6"/>
      <c r="D830" s="6"/>
      <c r="E830" s="6"/>
      <c r="F830" s="6"/>
    </row>
    <row r="831" spans="1:6" ht="15.75" thickBot="1">
      <c r="A831" s="6"/>
      <c r="B831" s="6"/>
      <c r="C831" s="6"/>
      <c r="D831" s="6"/>
      <c r="E831" s="6"/>
      <c r="F831" s="6"/>
    </row>
    <row r="832" spans="1:6" ht="15.75" thickBot="1">
      <c r="A832" s="6"/>
      <c r="B832" s="6"/>
      <c r="C832" s="6"/>
      <c r="D832" s="6"/>
      <c r="E832" s="6"/>
      <c r="F832" s="6"/>
    </row>
    <row r="833" spans="1:6" ht="15.75" thickBot="1">
      <c r="A833" s="6"/>
      <c r="B833" s="6"/>
      <c r="C833" s="6"/>
      <c r="D833" s="6"/>
      <c r="E833" s="6"/>
      <c r="F833" s="6"/>
    </row>
    <row r="834" spans="1:6" ht="15.75" thickBot="1">
      <c r="A834" s="6"/>
      <c r="B834" s="6"/>
      <c r="C834" s="6"/>
      <c r="D834" s="6"/>
      <c r="E834" s="6"/>
      <c r="F834" s="6"/>
    </row>
    <row r="835" spans="1:6" ht="15.75" thickBot="1">
      <c r="A835" s="6"/>
      <c r="B835" s="6"/>
      <c r="C835" s="6"/>
      <c r="D835" s="6"/>
      <c r="E835" s="6"/>
      <c r="F835" s="6"/>
    </row>
    <row r="836" spans="1:6" ht="15.75" thickBot="1">
      <c r="A836" s="6"/>
      <c r="B836" s="6"/>
      <c r="C836" s="6"/>
      <c r="D836" s="6"/>
      <c r="E836" s="6"/>
      <c r="F836" s="6"/>
    </row>
    <row r="837" spans="1:6" ht="15.75" thickBot="1">
      <c r="A837" s="6"/>
      <c r="B837" s="6"/>
      <c r="C837" s="6"/>
      <c r="D837" s="6"/>
      <c r="E837" s="6"/>
      <c r="F837" s="6"/>
    </row>
    <row r="838" spans="1:6" ht="15.75" thickBot="1">
      <c r="A838" s="6"/>
      <c r="B838" s="6"/>
      <c r="C838" s="6"/>
      <c r="D838" s="6"/>
      <c r="E838" s="6"/>
      <c r="F838" s="6"/>
    </row>
    <row r="839" spans="1:6" ht="15.75" thickBot="1">
      <c r="A839" s="6"/>
      <c r="B839" s="6"/>
      <c r="C839" s="6"/>
      <c r="D839" s="6"/>
      <c r="E839" s="6"/>
      <c r="F839" s="6"/>
    </row>
    <row r="840" spans="1:6" ht="15.75" thickBot="1">
      <c r="A840" s="6"/>
      <c r="B840" s="6"/>
      <c r="C840" s="6"/>
      <c r="D840" s="6"/>
      <c r="E840" s="6"/>
      <c r="F840" s="6"/>
    </row>
    <row r="841" spans="1:6" ht="15.75" thickBot="1">
      <c r="A841" s="6"/>
      <c r="B841" s="6"/>
      <c r="C841" s="6"/>
      <c r="D841" s="6"/>
      <c r="E841" s="6"/>
      <c r="F841" s="6"/>
    </row>
    <row r="842" spans="1:6" ht="15.75" thickBot="1">
      <c r="A842" s="6"/>
      <c r="B842" s="6"/>
      <c r="C842" s="6"/>
      <c r="D842" s="6"/>
      <c r="E842" s="6"/>
      <c r="F842" s="6"/>
    </row>
    <row r="843" spans="1:6" ht="15.75" thickBot="1">
      <c r="A843" s="6"/>
      <c r="B843" s="6"/>
      <c r="C843" s="6"/>
      <c r="D843" s="6"/>
      <c r="E843" s="6"/>
      <c r="F843" s="6"/>
    </row>
    <row r="844" spans="1:6" ht="15.75" thickBot="1">
      <c r="A844" s="6"/>
      <c r="B844" s="6"/>
      <c r="C844" s="6"/>
      <c r="D844" s="6"/>
      <c r="E844" s="6"/>
      <c r="F844" s="6"/>
    </row>
    <row r="845" spans="1:6" ht="15.75" thickBot="1">
      <c r="A845" s="6"/>
      <c r="B845" s="6"/>
      <c r="C845" s="6"/>
      <c r="D845" s="6"/>
      <c r="E845" s="6"/>
      <c r="F845" s="6"/>
    </row>
    <row r="846" spans="1:6" ht="15.75" thickBot="1">
      <c r="A846" s="6"/>
      <c r="B846" s="6"/>
      <c r="C846" s="6"/>
      <c r="D846" s="6"/>
      <c r="E846" s="6"/>
      <c r="F846" s="6"/>
    </row>
    <row r="847" spans="1:6" ht="15.75" thickBot="1">
      <c r="A847" s="6"/>
      <c r="B847" s="6"/>
      <c r="C847" s="6"/>
      <c r="D847" s="6"/>
      <c r="E847" s="6"/>
      <c r="F847" s="6"/>
    </row>
    <row r="848" spans="1:6" ht="15.75" thickBot="1">
      <c r="A848" s="6"/>
      <c r="B848" s="6"/>
      <c r="C848" s="6"/>
      <c r="D848" s="6"/>
      <c r="E848" s="6"/>
      <c r="F848" s="6"/>
    </row>
    <row r="849" spans="1:6" ht="15.75" thickBot="1">
      <c r="A849" s="6"/>
      <c r="B849" s="6"/>
      <c r="C849" s="6"/>
      <c r="D849" s="6"/>
      <c r="E849" s="6"/>
      <c r="F849" s="6"/>
    </row>
    <row r="850" spans="1:6" ht="15.75" thickBot="1">
      <c r="A850" s="6"/>
      <c r="B850" s="6"/>
      <c r="C850" s="6"/>
      <c r="D850" s="6"/>
      <c r="E850" s="6"/>
      <c r="F850" s="6"/>
    </row>
    <row r="851" spans="1:6" ht="15.75" thickBot="1">
      <c r="A851" s="6"/>
      <c r="B851" s="6"/>
      <c r="C851" s="6"/>
      <c r="D851" s="6"/>
      <c r="E851" s="6"/>
      <c r="F851" s="6"/>
    </row>
    <row r="852" spans="1:6" ht="15.75" thickBot="1">
      <c r="A852" s="6"/>
      <c r="B852" s="6"/>
      <c r="C852" s="6"/>
      <c r="D852" s="6"/>
      <c r="E852" s="6"/>
      <c r="F852" s="6"/>
    </row>
    <row r="853" spans="1:6" ht="15.75" thickBot="1">
      <c r="A853" s="6"/>
      <c r="B853" s="6"/>
      <c r="C853" s="6"/>
      <c r="D853" s="6"/>
      <c r="E853" s="6"/>
      <c r="F853" s="6"/>
    </row>
    <row r="854" spans="1:6" ht="15.75" thickBot="1">
      <c r="A854" s="6"/>
      <c r="B854" s="6"/>
      <c r="C854" s="6"/>
      <c r="D854" s="6"/>
      <c r="E854" s="6"/>
      <c r="F854" s="6"/>
    </row>
    <row r="855" spans="1:6" ht="15.75" thickBot="1">
      <c r="A855" s="6"/>
      <c r="B855" s="6"/>
      <c r="C855" s="6"/>
      <c r="D855" s="6"/>
      <c r="E855" s="6"/>
      <c r="F855" s="6"/>
    </row>
    <row r="856" spans="1:6" ht="15.75" thickBot="1">
      <c r="A856" s="6"/>
      <c r="B856" s="6"/>
      <c r="C856" s="6"/>
      <c r="D856" s="6"/>
      <c r="E856" s="6"/>
      <c r="F856" s="6"/>
    </row>
    <row r="857" spans="1:6" ht="15.75" thickBot="1">
      <c r="A857" s="6"/>
      <c r="B857" s="6"/>
      <c r="C857" s="6"/>
      <c r="D857" s="6"/>
      <c r="E857" s="6"/>
      <c r="F857" s="6"/>
    </row>
    <row r="858" spans="1:6" ht="15.75" thickBot="1">
      <c r="A858" s="6"/>
      <c r="B858" s="6"/>
      <c r="C858" s="6"/>
      <c r="D858" s="6"/>
      <c r="E858" s="6"/>
      <c r="F858" s="6"/>
    </row>
    <row r="859" spans="1:6" ht="15.75" thickBot="1">
      <c r="A859" s="6"/>
      <c r="B859" s="6"/>
      <c r="C859" s="6"/>
      <c r="D859" s="6"/>
      <c r="E859" s="6"/>
      <c r="F859" s="6"/>
    </row>
    <row r="860" spans="1:6" ht="15.75" thickBot="1">
      <c r="A860" s="6"/>
      <c r="B860" s="6"/>
      <c r="C860" s="6"/>
      <c r="D860" s="6"/>
      <c r="E860" s="6"/>
      <c r="F860" s="6"/>
    </row>
    <row r="861" spans="1:6" ht="15.75" thickBot="1">
      <c r="A861" s="6"/>
      <c r="B861" s="6"/>
      <c r="C861" s="6"/>
      <c r="D861" s="6"/>
      <c r="E861" s="6"/>
      <c r="F861" s="6"/>
    </row>
    <row r="862" spans="1:6" ht="15.75" thickBot="1">
      <c r="A862" s="6"/>
      <c r="B862" s="6"/>
      <c r="C862" s="6"/>
      <c r="D862" s="6"/>
      <c r="E862" s="6"/>
      <c r="F862" s="6"/>
    </row>
    <row r="863" spans="1:6" ht="15.75" thickBot="1">
      <c r="A863" s="6"/>
      <c r="B863" s="6"/>
      <c r="C863" s="6"/>
      <c r="D863" s="6"/>
      <c r="E863" s="6"/>
      <c r="F863" s="6"/>
    </row>
    <row r="864" spans="1:6" ht="15.75" thickBot="1">
      <c r="A864" s="6"/>
      <c r="B864" s="6"/>
      <c r="C864" s="6"/>
      <c r="D864" s="6"/>
      <c r="E864" s="6"/>
      <c r="F864" s="6"/>
    </row>
    <row r="865" spans="1:6" ht="15.75" thickBot="1">
      <c r="A865" s="6"/>
      <c r="B865" s="6"/>
      <c r="C865" s="6"/>
      <c r="D865" s="6"/>
      <c r="E865" s="6"/>
      <c r="F865" s="6"/>
    </row>
    <row r="866" spans="1:6" ht="15.75" thickBot="1">
      <c r="A866" s="6"/>
      <c r="B866" s="6"/>
      <c r="C866" s="6"/>
      <c r="D866" s="6"/>
      <c r="E866" s="6"/>
      <c r="F866" s="6"/>
    </row>
    <row r="867" spans="1:6" ht="15.75" thickBot="1">
      <c r="A867" s="6"/>
      <c r="B867" s="6"/>
      <c r="C867" s="6"/>
      <c r="D867" s="6"/>
      <c r="E867" s="6"/>
      <c r="F867" s="6"/>
    </row>
    <row r="868" spans="1:6" ht="15.75" thickBot="1">
      <c r="A868" s="6"/>
      <c r="B868" s="6"/>
      <c r="C868" s="6"/>
      <c r="D868" s="6"/>
      <c r="E868" s="6"/>
      <c r="F868" s="6"/>
    </row>
    <row r="869" spans="1:6" ht="15.75" thickBot="1">
      <c r="A869" s="6"/>
      <c r="B869" s="6"/>
      <c r="C869" s="6"/>
      <c r="D869" s="6"/>
      <c r="E869" s="6"/>
      <c r="F869" s="6"/>
    </row>
    <row r="870" spans="1:6" ht="15.75" thickBot="1">
      <c r="A870" s="6"/>
      <c r="B870" s="6"/>
      <c r="C870" s="6"/>
      <c r="D870" s="6"/>
      <c r="E870" s="6"/>
      <c r="F870" s="6"/>
    </row>
    <row r="871" spans="1:6" ht="15.75" thickBot="1">
      <c r="A871" s="6"/>
      <c r="B871" s="6"/>
      <c r="C871" s="6"/>
      <c r="D871" s="6"/>
      <c r="E871" s="6"/>
      <c r="F871" s="6"/>
    </row>
    <row r="872" spans="1:6" ht="15.75" thickBot="1">
      <c r="A872" s="6"/>
      <c r="B872" s="6"/>
      <c r="C872" s="6"/>
      <c r="D872" s="6"/>
      <c r="E872" s="6"/>
      <c r="F872" s="6"/>
    </row>
    <row r="873" spans="1:6" ht="15.75" thickBot="1">
      <c r="A873" s="6"/>
      <c r="B873" s="6"/>
      <c r="C873" s="6"/>
      <c r="D873" s="6"/>
      <c r="E873" s="6"/>
      <c r="F873" s="6"/>
    </row>
    <row r="874" spans="1:6" ht="15.75" thickBot="1">
      <c r="A874" s="6"/>
      <c r="B874" s="6"/>
      <c r="C874" s="6"/>
      <c r="D874" s="6"/>
      <c r="E874" s="6"/>
      <c r="F874" s="6"/>
    </row>
    <row r="875" spans="1:6" ht="15.75" thickBot="1">
      <c r="A875" s="6"/>
      <c r="B875" s="6"/>
      <c r="C875" s="6"/>
      <c r="D875" s="6"/>
      <c r="E875" s="6"/>
      <c r="F875" s="6"/>
    </row>
    <row r="876" spans="1:6" ht="15.75" thickBot="1">
      <c r="A876" s="6"/>
      <c r="B876" s="6"/>
      <c r="C876" s="6"/>
      <c r="D876" s="6"/>
      <c r="E876" s="6"/>
      <c r="F876" s="6"/>
    </row>
    <row r="877" spans="1:6" ht="15.75" thickBot="1">
      <c r="A877" s="6"/>
      <c r="B877" s="6"/>
      <c r="C877" s="6"/>
      <c r="D877" s="6"/>
      <c r="E877" s="6"/>
      <c r="F877" s="6"/>
    </row>
    <row r="878" spans="1:6" ht="15.75" thickBot="1">
      <c r="A878" s="6"/>
      <c r="B878" s="6"/>
      <c r="C878" s="6"/>
      <c r="D878" s="6"/>
      <c r="E878" s="6"/>
      <c r="F878" s="6"/>
    </row>
    <row r="879" spans="1:6" ht="15.75" thickBot="1">
      <c r="A879" s="6"/>
      <c r="B879" s="6"/>
      <c r="C879" s="6"/>
      <c r="D879" s="6"/>
      <c r="E879" s="6"/>
      <c r="F879" s="6"/>
    </row>
    <row r="880" spans="1:6" ht="15.75" thickBot="1">
      <c r="A880" s="6"/>
      <c r="B880" s="6"/>
      <c r="C880" s="6"/>
      <c r="D880" s="6"/>
      <c r="E880" s="6"/>
      <c r="F880" s="6"/>
    </row>
    <row r="881" spans="1:6" ht="15.75" thickBot="1">
      <c r="A881" s="6"/>
      <c r="B881" s="6"/>
      <c r="C881" s="6"/>
      <c r="D881" s="6"/>
      <c r="E881" s="6"/>
      <c r="F881" s="6"/>
    </row>
    <row r="882" spans="1:6" ht="15.75" thickBot="1">
      <c r="A882" s="6"/>
      <c r="B882" s="6"/>
      <c r="C882" s="6"/>
      <c r="D882" s="6"/>
      <c r="E882" s="6"/>
      <c r="F882" s="6"/>
    </row>
    <row r="883" spans="1:6" ht="15.75" thickBot="1">
      <c r="A883" s="6"/>
      <c r="B883" s="6"/>
      <c r="C883" s="6"/>
      <c r="D883" s="6"/>
      <c r="E883" s="6"/>
      <c r="F883" s="6"/>
    </row>
    <row r="884" spans="1:6" ht="15.75" thickBot="1">
      <c r="A884" s="6"/>
      <c r="B884" s="6"/>
      <c r="C884" s="6"/>
      <c r="D884" s="6"/>
      <c r="E884" s="6"/>
      <c r="F884" s="6"/>
    </row>
    <row r="885" spans="1:6" ht="15.75" thickBot="1">
      <c r="A885" s="6"/>
      <c r="B885" s="6"/>
      <c r="C885" s="6"/>
      <c r="D885" s="6"/>
      <c r="E885" s="6"/>
      <c r="F885" s="6"/>
    </row>
    <row r="886" spans="1:6" ht="15.75" thickBot="1">
      <c r="A886" s="6"/>
      <c r="B886" s="6"/>
      <c r="C886" s="6"/>
      <c r="D886" s="6"/>
      <c r="E886" s="6"/>
      <c r="F886" s="6"/>
    </row>
    <row r="887" spans="1:6" ht="15.75" thickBot="1">
      <c r="A887" s="6"/>
      <c r="B887" s="6"/>
      <c r="C887" s="6"/>
      <c r="D887" s="6"/>
      <c r="E887" s="6"/>
      <c r="F887" s="6"/>
    </row>
    <row r="888" spans="1:6" ht="15.75" thickBot="1">
      <c r="A888" s="6"/>
      <c r="B888" s="6"/>
      <c r="C888" s="6"/>
      <c r="D888" s="6"/>
      <c r="E888" s="6"/>
      <c r="F888" s="6"/>
    </row>
    <row r="889" spans="1:6" ht="15.75" thickBot="1">
      <c r="A889" s="6"/>
      <c r="B889" s="6"/>
      <c r="C889" s="6"/>
      <c r="D889" s="6"/>
      <c r="E889" s="6"/>
      <c r="F889" s="6"/>
    </row>
    <row r="890" spans="1:6" ht="15.75" thickBot="1">
      <c r="A890" s="6"/>
      <c r="B890" s="6"/>
      <c r="C890" s="6"/>
      <c r="D890" s="6"/>
      <c r="E890" s="6"/>
      <c r="F890" s="6"/>
    </row>
    <row r="891" spans="1:6" ht="15.75" thickBot="1">
      <c r="A891" s="6"/>
      <c r="B891" s="6"/>
      <c r="C891" s="6"/>
      <c r="D891" s="6"/>
      <c r="E891" s="6"/>
      <c r="F891" s="6"/>
    </row>
    <row r="892" spans="1:6" ht="15.75" thickBot="1">
      <c r="A892" s="6"/>
      <c r="B892" s="6"/>
      <c r="C892" s="6"/>
      <c r="D892" s="6"/>
      <c r="E892" s="6"/>
      <c r="F892" s="6"/>
    </row>
    <row r="893" spans="1:6" ht="15.75" thickBot="1">
      <c r="A893" s="6"/>
      <c r="B893" s="6"/>
      <c r="C893" s="6"/>
      <c r="D893" s="6"/>
      <c r="E893" s="6"/>
      <c r="F893" s="6"/>
    </row>
    <row r="894" spans="1:6" ht="15.75" thickBot="1">
      <c r="A894" s="6"/>
      <c r="B894" s="6"/>
      <c r="C894" s="6"/>
      <c r="D894" s="6"/>
      <c r="E894" s="6"/>
      <c r="F894" s="6"/>
    </row>
    <row r="895" spans="1:6" ht="15.75" thickBot="1">
      <c r="A895" s="6"/>
      <c r="B895" s="6"/>
      <c r="C895" s="6"/>
      <c r="D895" s="6"/>
      <c r="E895" s="6"/>
      <c r="F895" s="6"/>
    </row>
    <row r="896" spans="1:6" ht="15.75" thickBot="1">
      <c r="A896" s="6"/>
      <c r="B896" s="6"/>
      <c r="C896" s="6"/>
      <c r="D896" s="6"/>
      <c r="E896" s="6"/>
      <c r="F896" s="6"/>
    </row>
    <row r="897" spans="1:6" ht="15.75" thickBot="1">
      <c r="A897" s="6"/>
      <c r="B897" s="6"/>
      <c r="C897" s="6"/>
      <c r="D897" s="6"/>
      <c r="E897" s="6"/>
      <c r="F897" s="6"/>
    </row>
    <row r="898" spans="1:6" ht="15.75" thickBot="1">
      <c r="A898" s="6"/>
      <c r="B898" s="6"/>
      <c r="C898" s="6"/>
      <c r="D898" s="6"/>
      <c r="E898" s="6"/>
      <c r="F898" s="6"/>
    </row>
    <row r="899" spans="1:6" ht="15.75" thickBot="1">
      <c r="A899" s="6"/>
      <c r="B899" s="6"/>
      <c r="C899" s="6"/>
      <c r="D899" s="6"/>
      <c r="E899" s="6"/>
      <c r="F899" s="6"/>
    </row>
    <row r="900" spans="1:6" ht="15.75" thickBot="1">
      <c r="A900" s="6"/>
      <c r="B900" s="6"/>
      <c r="C900" s="6"/>
      <c r="D900" s="6"/>
      <c r="E900" s="6"/>
      <c r="F900" s="6"/>
    </row>
    <row r="901" spans="1:6" ht="15.75" thickBot="1">
      <c r="A901" s="6"/>
      <c r="B901" s="6"/>
      <c r="C901" s="6"/>
      <c r="D901" s="6"/>
      <c r="E901" s="6"/>
      <c r="F901" s="6"/>
    </row>
    <row r="902" spans="1:6" ht="15.75" thickBot="1">
      <c r="A902" s="6"/>
      <c r="B902" s="6"/>
      <c r="C902" s="6"/>
      <c r="D902" s="6"/>
      <c r="E902" s="6"/>
      <c r="F902" s="6"/>
    </row>
    <row r="903" spans="1:6" ht="15.75" thickBot="1">
      <c r="A903" s="6"/>
      <c r="B903" s="6"/>
      <c r="C903" s="6"/>
      <c r="D903" s="6"/>
      <c r="E903" s="6"/>
      <c r="F903" s="6"/>
    </row>
    <row r="904" spans="1:6" ht="15.75" thickBot="1">
      <c r="A904" s="6"/>
      <c r="B904" s="6"/>
      <c r="C904" s="6"/>
      <c r="D904" s="6"/>
      <c r="E904" s="6"/>
      <c r="F904" s="6"/>
    </row>
    <row r="905" spans="1:6" ht="15.75" thickBot="1">
      <c r="A905" s="6"/>
      <c r="B905" s="6"/>
      <c r="C905" s="6"/>
      <c r="D905" s="6"/>
      <c r="E905" s="6"/>
      <c r="F905" s="6"/>
    </row>
    <row r="906" spans="1:6" ht="15.75" thickBot="1">
      <c r="A906" s="6"/>
      <c r="B906" s="6"/>
      <c r="C906" s="6"/>
      <c r="D906" s="6"/>
      <c r="E906" s="6"/>
      <c r="F906" s="6"/>
    </row>
    <row r="907" spans="1:6" ht="15.75" thickBot="1">
      <c r="A907" s="6"/>
      <c r="B907" s="6"/>
      <c r="C907" s="6"/>
      <c r="D907" s="6"/>
      <c r="E907" s="6"/>
      <c r="F907" s="6"/>
    </row>
    <row r="908" spans="1:6" ht="15.75" thickBot="1">
      <c r="A908" s="6"/>
      <c r="B908" s="6"/>
      <c r="C908" s="6"/>
      <c r="D908" s="6"/>
      <c r="E908" s="6"/>
      <c r="F908" s="6"/>
    </row>
    <row r="909" spans="1:6" ht="15.75" thickBot="1">
      <c r="A909" s="6"/>
      <c r="B909" s="6"/>
      <c r="C909" s="6"/>
      <c r="D909" s="6"/>
      <c r="E909" s="6"/>
      <c r="F909" s="6"/>
    </row>
    <row r="910" spans="1:6" ht="15.75" thickBot="1">
      <c r="A910" s="6"/>
      <c r="B910" s="6"/>
      <c r="C910" s="6"/>
      <c r="D910" s="6"/>
      <c r="E910" s="6"/>
      <c r="F910" s="6"/>
    </row>
    <row r="911" spans="1:6" ht="15.75" thickBot="1">
      <c r="A911" s="6"/>
      <c r="B911" s="6"/>
      <c r="C911" s="6"/>
      <c r="D911" s="6"/>
      <c r="E911" s="6"/>
      <c r="F911" s="6"/>
    </row>
    <row r="912" spans="1:6" ht="15.75" thickBot="1">
      <c r="A912" s="6"/>
      <c r="B912" s="6"/>
      <c r="C912" s="6"/>
      <c r="D912" s="6"/>
      <c r="E912" s="6"/>
      <c r="F912" s="6"/>
    </row>
    <row r="913" spans="1:6" ht="15.75" thickBot="1">
      <c r="A913" s="6"/>
      <c r="B913" s="6"/>
      <c r="C913" s="6"/>
      <c r="D913" s="6"/>
      <c r="E913" s="6"/>
      <c r="F913" s="6"/>
    </row>
    <row r="914" spans="1:6" ht="15.75" thickBot="1">
      <c r="A914" s="6"/>
      <c r="B914" s="6"/>
      <c r="C914" s="6"/>
      <c r="D914" s="6"/>
      <c r="E914" s="6"/>
      <c r="F914" s="6"/>
    </row>
    <row r="915" spans="1:6" ht="15.75" thickBot="1">
      <c r="A915" s="6"/>
      <c r="B915" s="6"/>
      <c r="C915" s="6"/>
      <c r="D915" s="6"/>
      <c r="E915" s="6"/>
      <c r="F915" s="6"/>
    </row>
    <row r="916" spans="1:6" ht="15.75" thickBot="1">
      <c r="A916" s="6"/>
      <c r="B916" s="6"/>
      <c r="C916" s="6"/>
      <c r="D916" s="6"/>
      <c r="E916" s="6"/>
      <c r="F916" s="6"/>
    </row>
    <row r="917" spans="1:6" ht="15.75" thickBot="1">
      <c r="A917" s="6"/>
      <c r="B917" s="6"/>
      <c r="C917" s="6"/>
      <c r="D917" s="6"/>
      <c r="E917" s="6"/>
      <c r="F917" s="6"/>
    </row>
    <row r="918" spans="1:6" ht="15.75" thickBot="1">
      <c r="A918" s="6"/>
      <c r="B918" s="6"/>
      <c r="C918" s="6"/>
      <c r="D918" s="6"/>
      <c r="E918" s="6"/>
      <c r="F918" s="6"/>
    </row>
    <row r="919" spans="1:6" ht="15.75" thickBot="1">
      <c r="A919" s="6"/>
      <c r="B919" s="6"/>
      <c r="C919" s="6"/>
      <c r="D919" s="6"/>
      <c r="E919" s="6"/>
      <c r="F919" s="6"/>
    </row>
    <row r="920" spans="1:6" ht="15.75" thickBot="1">
      <c r="A920" s="6"/>
      <c r="B920" s="6"/>
      <c r="C920" s="6"/>
      <c r="D920" s="6"/>
      <c r="E920" s="6"/>
      <c r="F920" s="6"/>
    </row>
    <row r="921" spans="1:6" ht="15.75" thickBot="1">
      <c r="A921" s="6"/>
      <c r="B921" s="6"/>
      <c r="C921" s="6"/>
      <c r="D921" s="6"/>
      <c r="E921" s="6"/>
      <c r="F921" s="6"/>
    </row>
    <row r="922" spans="1:6" ht="15.75" thickBot="1">
      <c r="A922" s="6"/>
      <c r="B922" s="6"/>
      <c r="C922" s="6"/>
      <c r="D922" s="6"/>
      <c r="E922" s="6"/>
      <c r="F922" s="6"/>
    </row>
    <row r="923" spans="1:6" ht="15.75" thickBot="1">
      <c r="A923" s="6"/>
      <c r="B923" s="6"/>
      <c r="C923" s="6"/>
      <c r="D923" s="6"/>
      <c r="E923" s="6"/>
      <c r="F923" s="6"/>
    </row>
    <row r="924" spans="1:6" ht="15.75" thickBot="1">
      <c r="A924" s="6"/>
      <c r="B924" s="6"/>
      <c r="C924" s="6"/>
      <c r="D924" s="6"/>
      <c r="E924" s="6"/>
      <c r="F924" s="6"/>
    </row>
    <row r="925" spans="1:6" ht="15.75" thickBot="1">
      <c r="A925" s="6"/>
      <c r="B925" s="6"/>
      <c r="C925" s="6"/>
      <c r="D925" s="6"/>
      <c r="E925" s="6"/>
      <c r="F925" s="6"/>
    </row>
    <row r="926" spans="1:6" ht="15.75" thickBot="1">
      <c r="A926" s="6"/>
      <c r="B926" s="6"/>
      <c r="C926" s="6"/>
      <c r="D926" s="6"/>
      <c r="E926" s="6"/>
      <c r="F926" s="6"/>
    </row>
    <row r="927" spans="1:6" ht="15.75" thickBot="1">
      <c r="A927" s="6"/>
      <c r="B927" s="6"/>
      <c r="C927" s="6"/>
      <c r="D927" s="6"/>
      <c r="E927" s="6"/>
      <c r="F927" s="6"/>
    </row>
    <row r="928" spans="1:6" ht="15.75" thickBot="1">
      <c r="A928" s="6"/>
      <c r="B928" s="6"/>
      <c r="C928" s="6"/>
      <c r="D928" s="6"/>
      <c r="E928" s="6"/>
      <c r="F928" s="6"/>
    </row>
    <row r="929" spans="1:6" ht="15.75" thickBot="1">
      <c r="A929" s="6"/>
      <c r="B929" s="6"/>
      <c r="C929" s="6"/>
      <c r="D929" s="6"/>
      <c r="E929" s="6"/>
      <c r="F929" s="6"/>
    </row>
    <row r="930" spans="1:6" ht="15.75" thickBot="1">
      <c r="A930" s="6"/>
      <c r="B930" s="6"/>
      <c r="C930" s="6"/>
      <c r="D930" s="6"/>
      <c r="E930" s="6"/>
      <c r="F930" s="6"/>
    </row>
    <row r="931" spans="1:6" ht="15.75" thickBot="1">
      <c r="A931" s="6"/>
      <c r="B931" s="6"/>
      <c r="C931" s="6"/>
      <c r="D931" s="6"/>
      <c r="E931" s="6"/>
      <c r="F931" s="6"/>
    </row>
    <row r="932" spans="1:6" ht="15.75" thickBot="1">
      <c r="A932" s="6"/>
      <c r="B932" s="6"/>
      <c r="C932" s="6"/>
      <c r="D932" s="6"/>
      <c r="E932" s="6"/>
      <c r="F932" s="6"/>
    </row>
    <row r="933" spans="1:6" ht="15.75" thickBot="1">
      <c r="A933" s="6"/>
      <c r="B933" s="6"/>
      <c r="C933" s="6"/>
      <c r="D933" s="6"/>
      <c r="E933" s="6"/>
      <c r="F933" s="6"/>
    </row>
    <row r="934" spans="1:6" ht="15.75" thickBot="1">
      <c r="A934" s="6"/>
      <c r="B934" s="6"/>
      <c r="C934" s="6"/>
      <c r="D934" s="6"/>
      <c r="E934" s="6"/>
      <c r="F934" s="6"/>
    </row>
    <row r="935" spans="1:6" ht="15.75" thickBot="1">
      <c r="A935" s="6"/>
      <c r="B935" s="6"/>
      <c r="C935" s="6"/>
      <c r="D935" s="6"/>
      <c r="E935" s="6"/>
      <c r="F935" s="6"/>
    </row>
    <row r="936" spans="1:6" ht="15.75" thickBot="1">
      <c r="A936" s="6"/>
      <c r="B936" s="6"/>
      <c r="C936" s="6"/>
      <c r="D936" s="6"/>
      <c r="E936" s="6"/>
      <c r="F936" s="6"/>
    </row>
    <row r="937" spans="1:6" ht="15.75" thickBot="1">
      <c r="A937" s="6"/>
      <c r="B937" s="6"/>
      <c r="C937" s="6"/>
      <c r="D937" s="6"/>
      <c r="E937" s="6"/>
      <c r="F937" s="6"/>
    </row>
    <row r="938" spans="1:6" ht="15.75" thickBot="1">
      <c r="A938" s="6"/>
      <c r="B938" s="6"/>
      <c r="C938" s="6"/>
      <c r="D938" s="6"/>
      <c r="E938" s="6"/>
      <c r="F938" s="6"/>
    </row>
    <row r="939" spans="1:6" ht="15.75" thickBot="1">
      <c r="A939" s="6"/>
      <c r="B939" s="6"/>
      <c r="C939" s="6"/>
      <c r="D939" s="6"/>
      <c r="E939" s="6"/>
      <c r="F939" s="6"/>
    </row>
    <row r="940" spans="1:6" ht="15.75" thickBot="1">
      <c r="A940" s="6"/>
      <c r="B940" s="6"/>
      <c r="C940" s="6"/>
      <c r="D940" s="6"/>
      <c r="E940" s="6"/>
      <c r="F940" s="6"/>
    </row>
    <row r="941" spans="1:6" ht="15.75" thickBot="1">
      <c r="A941" s="6"/>
      <c r="B941" s="6"/>
      <c r="C941" s="6"/>
      <c r="D941" s="6"/>
      <c r="E941" s="6"/>
      <c r="F941" s="6"/>
    </row>
    <row r="942" spans="1:6" ht="15.75" thickBot="1">
      <c r="A942" s="6"/>
      <c r="B942" s="6"/>
      <c r="C942" s="6"/>
      <c r="D942" s="6"/>
      <c r="E942" s="6"/>
      <c r="F942" s="6"/>
    </row>
    <row r="943" spans="1:6" ht="15.75" thickBot="1">
      <c r="A943" s="6"/>
      <c r="B943" s="6"/>
      <c r="C943" s="6"/>
      <c r="D943" s="6"/>
      <c r="E943" s="6"/>
      <c r="F943" s="6"/>
    </row>
    <row r="944" spans="1:6" ht="15.75" thickBot="1">
      <c r="A944" s="6"/>
      <c r="B944" s="6"/>
      <c r="C944" s="6"/>
      <c r="D944" s="6"/>
      <c r="E944" s="6"/>
      <c r="F944" s="6"/>
    </row>
    <row r="945" spans="1:6" ht="15.75" thickBot="1">
      <c r="A945" s="6"/>
      <c r="B945" s="6"/>
      <c r="C945" s="6"/>
      <c r="D945" s="6"/>
      <c r="E945" s="6"/>
      <c r="F945" s="6"/>
    </row>
    <row r="946" spans="1:6" ht="15.75" thickBot="1">
      <c r="A946" s="6"/>
      <c r="B946" s="6"/>
      <c r="C946" s="6"/>
      <c r="D946" s="6"/>
      <c r="E946" s="6"/>
      <c r="F946" s="6"/>
    </row>
    <row r="947" spans="1:6" ht="15.75" thickBot="1">
      <c r="A947" s="6"/>
      <c r="B947" s="6"/>
      <c r="C947" s="6"/>
      <c r="D947" s="6"/>
      <c r="E947" s="6"/>
      <c r="F947" s="6"/>
    </row>
    <row r="948" spans="1:6" ht="15.75" thickBot="1">
      <c r="A948" s="6"/>
      <c r="B948" s="6"/>
      <c r="C948" s="6"/>
      <c r="D948" s="6"/>
      <c r="E948" s="6"/>
      <c r="F948" s="6"/>
    </row>
    <row r="949" spans="1:6" ht="15.75" thickBot="1">
      <c r="A949" s="6"/>
      <c r="B949" s="6"/>
      <c r="C949" s="6"/>
      <c r="D949" s="6"/>
      <c r="E949" s="6"/>
      <c r="F949" s="6"/>
    </row>
    <row r="950" spans="1:6" ht="15.75" thickBot="1">
      <c r="A950" s="6"/>
      <c r="B950" s="6"/>
      <c r="C950" s="6"/>
      <c r="D950" s="6"/>
      <c r="E950" s="6"/>
      <c r="F950" s="6"/>
    </row>
    <row r="951" spans="1:6" ht="15.75" thickBot="1">
      <c r="A951" s="6"/>
      <c r="B951" s="6"/>
      <c r="C951" s="6"/>
      <c r="D951" s="6"/>
      <c r="E951" s="6"/>
      <c r="F951" s="6"/>
    </row>
    <row r="952" spans="1:6" ht="15.75" thickBot="1">
      <c r="A952" s="6"/>
      <c r="B952" s="6"/>
      <c r="C952" s="6"/>
      <c r="D952" s="6"/>
      <c r="E952" s="6"/>
      <c r="F952" s="6"/>
    </row>
    <row r="953" spans="1:6" ht="15.75" thickBot="1">
      <c r="A953" s="6"/>
      <c r="B953" s="6"/>
      <c r="C953" s="6"/>
      <c r="D953" s="6"/>
      <c r="E953" s="6"/>
      <c r="F953" s="6"/>
    </row>
    <row r="954" spans="1:6" ht="15.75" thickBot="1">
      <c r="A954" s="6"/>
      <c r="B954" s="6"/>
      <c r="C954" s="6"/>
      <c r="D954" s="6"/>
      <c r="E954" s="6"/>
      <c r="F954" s="6"/>
    </row>
    <row r="955" spans="1:6" ht="15.75" thickBot="1">
      <c r="A955" s="6"/>
      <c r="B955" s="6"/>
      <c r="C955" s="6"/>
      <c r="D955" s="6"/>
      <c r="E955" s="6"/>
      <c r="F955" s="6"/>
    </row>
    <row r="956" spans="1:6" ht="15.75" thickBot="1">
      <c r="A956" s="6"/>
      <c r="B956" s="6"/>
      <c r="C956" s="6"/>
      <c r="D956" s="6"/>
      <c r="E956" s="6"/>
      <c r="F956" s="6"/>
    </row>
    <row r="957" spans="1:6" ht="15.75" thickBot="1">
      <c r="A957" s="6"/>
      <c r="B957" s="6"/>
      <c r="C957" s="6"/>
      <c r="D957" s="6"/>
      <c r="E957" s="6"/>
      <c r="F957" s="6"/>
    </row>
    <row r="958" spans="1:6" ht="15.75" thickBot="1">
      <c r="A958" s="6"/>
      <c r="B958" s="6"/>
      <c r="C958" s="6"/>
      <c r="D958" s="6"/>
      <c r="E958" s="6"/>
      <c r="F958" s="6"/>
    </row>
    <row r="959" spans="1:6" ht="15.75" thickBot="1">
      <c r="A959" s="6"/>
      <c r="B959" s="6"/>
      <c r="C959" s="6"/>
      <c r="D959" s="6"/>
      <c r="E959" s="6"/>
      <c r="F959" s="6"/>
    </row>
    <row r="960" spans="1:6" ht="15.75" thickBot="1">
      <c r="A960" s="6"/>
      <c r="B960" s="6"/>
      <c r="C960" s="6"/>
      <c r="D960" s="6"/>
      <c r="E960" s="6"/>
      <c r="F960" s="6"/>
    </row>
    <row r="961" spans="1:6" ht="15.75" thickBot="1">
      <c r="A961" s="6"/>
      <c r="B961" s="6"/>
      <c r="C961" s="6"/>
      <c r="D961" s="6"/>
      <c r="E961" s="6"/>
      <c r="F961" s="6"/>
    </row>
    <row r="962" spans="1:6" ht="15.75" thickBot="1">
      <c r="A962" s="6"/>
      <c r="B962" s="6"/>
      <c r="C962" s="6"/>
      <c r="D962" s="6"/>
      <c r="E962" s="6"/>
      <c r="F962" s="6"/>
    </row>
    <row r="963" spans="1:6" ht="15.75" thickBot="1">
      <c r="A963" s="6"/>
      <c r="B963" s="6"/>
      <c r="C963" s="6"/>
      <c r="D963" s="6"/>
      <c r="E963" s="6"/>
      <c r="F963" s="6"/>
    </row>
    <row r="964" spans="1:6" ht="15.75" thickBot="1">
      <c r="A964" s="6"/>
      <c r="B964" s="6"/>
      <c r="C964" s="6"/>
      <c r="D964" s="6"/>
      <c r="E964" s="6"/>
      <c r="F964" s="6"/>
    </row>
    <row r="965" spans="1:6" ht="15.75" thickBot="1">
      <c r="A965" s="6"/>
      <c r="B965" s="6"/>
      <c r="C965" s="6"/>
      <c r="D965" s="6"/>
      <c r="E965" s="6"/>
      <c r="F965" s="6"/>
    </row>
    <row r="966" spans="1:6" ht="15.75" thickBot="1">
      <c r="A966" s="6"/>
      <c r="B966" s="6"/>
      <c r="C966" s="6"/>
      <c r="D966" s="6"/>
      <c r="E966" s="6"/>
      <c r="F966" s="6"/>
    </row>
    <row r="967" spans="1:6" ht="15.75" thickBot="1">
      <c r="A967" s="6"/>
      <c r="B967" s="6"/>
      <c r="C967" s="6"/>
      <c r="D967" s="6"/>
      <c r="E967" s="6"/>
      <c r="F967" s="6"/>
    </row>
    <row r="968" spans="1:6" ht="15.75" thickBot="1">
      <c r="A968" s="6"/>
      <c r="B968" s="6"/>
      <c r="C968" s="6"/>
      <c r="D968" s="6"/>
      <c r="E968" s="6"/>
      <c r="F968" s="6"/>
    </row>
    <row r="969" spans="1:6" ht="15.75" thickBot="1">
      <c r="A969" s="6"/>
      <c r="B969" s="6"/>
      <c r="C969" s="6"/>
      <c r="D969" s="6"/>
      <c r="E969" s="6"/>
      <c r="F969" s="6"/>
    </row>
    <row r="970" spans="1:6" ht="15.75" thickBot="1">
      <c r="A970" s="6"/>
      <c r="B970" s="6"/>
      <c r="C970" s="6"/>
      <c r="D970" s="6"/>
      <c r="E970" s="6"/>
      <c r="F970" s="6"/>
    </row>
    <row r="971" spans="1:6" ht="15.75" thickBot="1">
      <c r="A971" s="6"/>
      <c r="B971" s="6"/>
      <c r="C971" s="6"/>
      <c r="D971" s="6"/>
      <c r="E971" s="6"/>
      <c r="F971" s="6"/>
    </row>
    <row r="972" spans="1:6" ht="15.75" thickBot="1">
      <c r="A972" s="6"/>
      <c r="B972" s="6"/>
      <c r="C972" s="6"/>
      <c r="D972" s="6"/>
      <c r="E972" s="6"/>
      <c r="F972" s="6"/>
    </row>
    <row r="973" spans="1:6" ht="15.75" thickBot="1">
      <c r="A973" s="6"/>
      <c r="B973" s="6"/>
      <c r="C973" s="6"/>
      <c r="D973" s="6"/>
      <c r="E973" s="6"/>
      <c r="F973" s="6"/>
    </row>
    <row r="974" spans="1:6" ht="15.75" thickBot="1">
      <c r="A974" s="6"/>
      <c r="B974" s="6"/>
      <c r="C974" s="6"/>
      <c r="D974" s="6"/>
      <c r="E974" s="6"/>
      <c r="F974" s="6"/>
    </row>
    <row r="975" spans="1:6" ht="15.75" thickBot="1">
      <c r="A975" s="6"/>
      <c r="B975" s="6"/>
      <c r="C975" s="6"/>
      <c r="D975" s="6"/>
      <c r="E975" s="6"/>
      <c r="F975" s="6"/>
    </row>
    <row r="976" spans="1:6" ht="15.75" thickBot="1">
      <c r="A976" s="6"/>
      <c r="B976" s="6"/>
      <c r="C976" s="6"/>
      <c r="D976" s="6"/>
      <c r="E976" s="6"/>
      <c r="F976" s="6"/>
    </row>
    <row r="977" spans="1:6" ht="15.75" thickBot="1">
      <c r="A977" s="6"/>
      <c r="B977" s="6"/>
      <c r="C977" s="6"/>
      <c r="D977" s="6"/>
      <c r="E977" s="6"/>
      <c r="F977" s="6"/>
    </row>
    <row r="978" spans="1:6" ht="15.75" thickBot="1">
      <c r="A978" s="6"/>
      <c r="B978" s="6"/>
      <c r="C978" s="6"/>
      <c r="D978" s="6"/>
      <c r="E978" s="6"/>
      <c r="F978" s="6"/>
    </row>
    <row r="979" spans="1:6" ht="15.75" thickBot="1">
      <c r="A979" s="6"/>
      <c r="B979" s="6"/>
      <c r="C979" s="6"/>
      <c r="D979" s="6"/>
      <c r="E979" s="6"/>
      <c r="F979" s="6"/>
    </row>
  </sheetData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activeCell="E2" sqref="E2"/>
    </sheetView>
  </sheetViews>
  <sheetFormatPr baseColWidth="10" defaultRowHeight="15"/>
  <cols>
    <col min="5" max="5" width="62.85546875" customWidth="1"/>
  </cols>
  <sheetData>
    <row r="1" spans="1:26" ht="15.75" thickBot="1">
      <c r="A1" s="34" t="s">
        <v>740</v>
      </c>
      <c r="B1" s="8" t="s">
        <v>937</v>
      </c>
      <c r="C1" s="8" t="s">
        <v>938</v>
      </c>
      <c r="D1" s="8" t="s">
        <v>939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27" thickBot="1">
      <c r="A2" s="35" t="s">
        <v>858</v>
      </c>
      <c r="B2" s="36">
        <v>42755</v>
      </c>
      <c r="C2" s="12" t="s">
        <v>940</v>
      </c>
      <c r="D2" s="12" t="s">
        <v>401</v>
      </c>
      <c r="E2" s="9" t="str">
        <f>"INSERT INTO femicidio (idFemicidio,Tipo, Fecha, Motivo) VALUES (' "&amp;A2&amp;" ',' "&amp;C2&amp;" ', ' "&amp;B2&amp;" ',' "&amp;D2&amp;" '); "</f>
        <v xml:space="preserve">INSERT INTO femicidio (idFemicidio,Tipo, Fecha, Motivo) VALUES (' IP2017ch1 ',' Asfixia ', ' 42755 ',' ND '); 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30.75" thickBot="1">
      <c r="A3" s="35" t="s">
        <v>859</v>
      </c>
      <c r="B3" s="36">
        <v>42759</v>
      </c>
      <c r="C3" s="12" t="s">
        <v>941</v>
      </c>
      <c r="D3" s="12" t="s">
        <v>401</v>
      </c>
      <c r="E3" s="9" t="str">
        <f t="shared" ref="E3:E66" si="0">"INSERT INTO femicidio (idFemicidio,Tipo, Fecha, Motivo) VALUES (' "&amp;A3&amp;" ',' "&amp;C3&amp;" ', ' "&amp;B3&amp;" ',' "&amp;D3&amp;" '); "</f>
        <v xml:space="preserve">INSERT INTO femicidio (idFemicidio,Tipo, Fecha, Motivo) VALUES (' SN2017ch2 ',' Descuartizada ', ' 42759 ',' ND '); 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30.75" thickBot="1">
      <c r="A4" s="35" t="s">
        <v>860</v>
      </c>
      <c r="B4" s="36">
        <v>42763</v>
      </c>
      <c r="C4" s="12" t="s">
        <v>942</v>
      </c>
      <c r="D4" s="12" t="s">
        <v>401</v>
      </c>
      <c r="E4" s="9" t="str">
        <f t="shared" si="0"/>
        <v xml:space="preserve">INSERT INTO femicidio (idFemicidio,Tipo, Fecha, Motivo) VALUES (' LH2017ch3 ',' Apuñalamiento ', ' 42763 ',' ND '); 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30.75" thickBot="1">
      <c r="A5" s="35" t="s">
        <v>861</v>
      </c>
      <c r="B5" s="36">
        <v>42772</v>
      </c>
      <c r="C5" s="12" t="s">
        <v>942</v>
      </c>
      <c r="D5" s="12" t="s">
        <v>401</v>
      </c>
      <c r="E5" s="9" t="str">
        <f t="shared" si="0"/>
        <v xml:space="preserve">INSERT INTO femicidio (idFemicidio,Tipo, Fecha, Motivo) VALUES (' CV2017ch4 ',' Apuñalamiento ', ' 42772 ',' ND '); 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30.75" thickBot="1">
      <c r="A6" s="35" t="s">
        <v>862</v>
      </c>
      <c r="B6" s="36">
        <v>42774</v>
      </c>
      <c r="C6" s="12" t="s">
        <v>943</v>
      </c>
      <c r="D6" s="12" t="s">
        <v>944</v>
      </c>
      <c r="E6" s="9" t="str">
        <f t="shared" si="0"/>
        <v xml:space="preserve">INSERT INTO femicidio (idFemicidio,Tipo, Fecha, Motivo) VALUES (' MG2017ch5 ',' Disparo ', ' 42774 ',' Ataque de Ira '); 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27" thickBot="1">
      <c r="A7" s="35" t="s">
        <v>863</v>
      </c>
      <c r="B7" s="37">
        <v>42781</v>
      </c>
      <c r="C7" s="14" t="s">
        <v>943</v>
      </c>
      <c r="D7" s="14" t="s">
        <v>945</v>
      </c>
      <c r="E7" s="9" t="str">
        <f t="shared" si="0"/>
        <v xml:space="preserve">INSERT INTO femicidio (idFemicidio,Tipo, Fecha, Motivo) VALUES (' YF2017ch6 ',' Disparo ', ' 42781 ',' Rencor '); 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30.75" thickBot="1">
      <c r="A8" s="35" t="s">
        <v>864</v>
      </c>
      <c r="B8" s="36">
        <v>42788</v>
      </c>
      <c r="C8" s="12" t="s">
        <v>946</v>
      </c>
      <c r="D8" s="12" t="s">
        <v>944</v>
      </c>
      <c r="E8" s="9" t="str">
        <f t="shared" si="0"/>
        <v xml:space="preserve">INSERT INTO femicidio (idFemicidio,Tipo, Fecha, Motivo) VALUES (' AR2017ch7 ',' Golpe ', ' 42788 ',' Ataque de Ira '); 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27" thickBot="1">
      <c r="A9" s="35" t="s">
        <v>865</v>
      </c>
      <c r="B9" s="36">
        <v>42809</v>
      </c>
      <c r="C9" s="12" t="s">
        <v>940</v>
      </c>
      <c r="D9" s="12" t="s">
        <v>945</v>
      </c>
      <c r="E9" s="9" t="str">
        <f t="shared" si="0"/>
        <v xml:space="preserve">INSERT INTO femicidio (idFemicidio,Tipo, Fecha, Motivo) VALUES (' GR2017ch8 ',' Asfixia ', ' 42809 ',' Rencor '); 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30.75" thickBot="1">
      <c r="A10" s="35" t="s">
        <v>866</v>
      </c>
      <c r="B10" s="36">
        <v>42824</v>
      </c>
      <c r="C10" s="12" t="s">
        <v>942</v>
      </c>
      <c r="D10" s="12" t="s">
        <v>401</v>
      </c>
      <c r="E10" s="9" t="str">
        <f t="shared" si="0"/>
        <v xml:space="preserve">INSERT INTO femicidio (idFemicidio,Tipo, Fecha, Motivo) VALUES (' AL2017ch9 ',' Apuñalamiento ', ' 42824 ',' ND '); 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30.75" thickBot="1">
      <c r="A11" s="35" t="s">
        <v>867</v>
      </c>
      <c r="B11" s="36">
        <v>42824</v>
      </c>
      <c r="C11" s="12" t="s">
        <v>947</v>
      </c>
      <c r="D11" s="12" t="s">
        <v>401</v>
      </c>
      <c r="E11" s="9" t="str">
        <f t="shared" si="0"/>
        <v xml:space="preserve">INSERT INTO femicidio (idFemicidio,Tipo, Fecha, Motivo) VALUES (' RE2017ch10 ',' Estrangulamiento ', ' 42824 ',' ND '); 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30.75" thickBot="1">
      <c r="A12" s="35" t="s">
        <v>868</v>
      </c>
      <c r="B12" s="36">
        <v>42825</v>
      </c>
      <c r="C12" s="12" t="s">
        <v>946</v>
      </c>
      <c r="D12" s="12" t="s">
        <v>401</v>
      </c>
      <c r="E12" s="9" t="str">
        <f t="shared" si="0"/>
        <v xml:space="preserve">INSERT INTO femicidio (idFemicidio,Tipo, Fecha, Motivo) VALUES (' NB2017ch11 ',' Golpe ', ' 42825 ',' ND '); 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30.75" thickBot="1">
      <c r="A13" s="35" t="s">
        <v>869</v>
      </c>
      <c r="B13" s="36">
        <v>42825</v>
      </c>
      <c r="C13" s="12" t="s">
        <v>942</v>
      </c>
      <c r="D13" s="12" t="s">
        <v>948</v>
      </c>
      <c r="E13" s="9" t="str">
        <f t="shared" si="0"/>
        <v xml:space="preserve">INSERT INTO femicidio (idFemicidio,Tipo, Fecha, Motivo) VALUES (' RE2017ch12 ',' Apuñalamiento ', ' 42825 ',' Celos '); 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30.75" thickBot="1">
      <c r="A14" s="35" t="s">
        <v>870</v>
      </c>
      <c r="B14" s="36">
        <v>42829</v>
      </c>
      <c r="C14" s="12" t="s">
        <v>940</v>
      </c>
      <c r="D14" s="12" t="s">
        <v>944</v>
      </c>
      <c r="E14" s="9" t="str">
        <f t="shared" si="0"/>
        <v xml:space="preserve">INSERT INTO femicidio (idFemicidio,Tipo, Fecha, Motivo) VALUES (' LC2017ch13 ',' Asfixia ', ' 42829 ',' Ataque de Ira '); 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30.75" thickBot="1">
      <c r="A15" s="35" t="s">
        <v>871</v>
      </c>
      <c r="B15" s="36">
        <v>42833</v>
      </c>
      <c r="C15" s="12" t="s">
        <v>942</v>
      </c>
      <c r="D15" s="12" t="s">
        <v>948</v>
      </c>
      <c r="E15" s="9" t="str">
        <f t="shared" si="0"/>
        <v xml:space="preserve">INSERT INTO femicidio (idFemicidio,Tipo, Fecha, Motivo) VALUES (' PV2017ch14 ',' Apuñalamiento ', ' 42833 ',' Celos '); 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30.75" thickBot="1">
      <c r="A16" s="35" t="s">
        <v>872</v>
      </c>
      <c r="B16" s="36">
        <v>42836</v>
      </c>
      <c r="C16" s="12" t="s">
        <v>942</v>
      </c>
      <c r="D16" s="12" t="s">
        <v>948</v>
      </c>
      <c r="E16" s="9" t="str">
        <f t="shared" si="0"/>
        <v xml:space="preserve">INSERT INTO femicidio (idFemicidio,Tipo, Fecha, Motivo) VALUES (' CL2017ch15 ',' Apuñalamiento ', ' 42836 ',' Celos '); 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30.75" thickBot="1">
      <c r="A17" s="35" t="s">
        <v>873</v>
      </c>
      <c r="B17" s="36">
        <v>42841</v>
      </c>
      <c r="C17" s="12" t="s">
        <v>942</v>
      </c>
      <c r="D17" s="12" t="s">
        <v>944</v>
      </c>
      <c r="E17" s="9" t="str">
        <f t="shared" si="0"/>
        <v xml:space="preserve">INSERT INTO femicidio (idFemicidio,Tipo, Fecha, Motivo) VALUES (' GG2017ch16 ',' Apuñalamiento ', ' 42841 ',' Ataque de Ira '); 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30.75" thickBot="1">
      <c r="A18" s="35" t="s">
        <v>874</v>
      </c>
      <c r="B18" s="36">
        <v>42856</v>
      </c>
      <c r="C18" s="12" t="s">
        <v>946</v>
      </c>
      <c r="D18" s="12" t="s">
        <v>401</v>
      </c>
      <c r="E18" s="9" t="str">
        <f t="shared" si="0"/>
        <v xml:space="preserve">INSERT INTO femicidio (idFemicidio,Tipo, Fecha, Motivo) VALUES (' MD2017ch17 ',' Golpe ', ' 42856 ',' ND '); 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30.75" thickBot="1">
      <c r="A19" s="35" t="s">
        <v>875</v>
      </c>
      <c r="B19" s="36">
        <v>42856</v>
      </c>
      <c r="C19" s="12" t="s">
        <v>946</v>
      </c>
      <c r="D19" s="12" t="s">
        <v>401</v>
      </c>
      <c r="E19" s="9" t="str">
        <f t="shared" si="0"/>
        <v xml:space="preserve">INSERT INTO femicidio (idFemicidio,Tipo, Fecha, Motivo) VALUES (' DM2017ch18 ',' Golpe ', ' 42856 ',' ND '); 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30.75" thickBot="1">
      <c r="A20" s="35" t="s">
        <v>876</v>
      </c>
      <c r="B20" s="36">
        <v>42860</v>
      </c>
      <c r="C20" s="12" t="s">
        <v>942</v>
      </c>
      <c r="D20" s="12" t="s">
        <v>401</v>
      </c>
      <c r="E20" s="9" t="str">
        <f t="shared" si="0"/>
        <v xml:space="preserve">INSERT INTO femicidio (idFemicidio,Tipo, Fecha, Motivo) VALUES (' AC2017ch19 ',' Apuñalamiento ', ' 42860 ',' ND '); 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30.75" thickBot="1">
      <c r="A21" s="35" t="s">
        <v>877</v>
      </c>
      <c r="B21" s="36">
        <v>42868</v>
      </c>
      <c r="C21" s="12" t="s">
        <v>940</v>
      </c>
      <c r="D21" s="12" t="s">
        <v>401</v>
      </c>
      <c r="E21" s="9" t="str">
        <f t="shared" si="0"/>
        <v xml:space="preserve">INSERT INTO femicidio (idFemicidio,Tipo, Fecha, Motivo) VALUES (' MP2017ch20 ',' Asfixia ', ' 42868 ',' ND '); 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30.75" thickBot="1">
      <c r="A22" s="35" t="s">
        <v>878</v>
      </c>
      <c r="B22" s="36">
        <v>42869</v>
      </c>
      <c r="C22" s="12" t="s">
        <v>942</v>
      </c>
      <c r="D22" s="12" t="s">
        <v>944</v>
      </c>
      <c r="E22" s="9" t="str">
        <f t="shared" si="0"/>
        <v xml:space="preserve">INSERT INTO femicidio (idFemicidio,Tipo, Fecha, Motivo) VALUES (' KM2017ch21 ',' Apuñalamiento ', ' 42869 ',' Ataque de Ira '); 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30.75" thickBot="1">
      <c r="A23" s="35" t="s">
        <v>879</v>
      </c>
      <c r="B23" s="36">
        <v>42877</v>
      </c>
      <c r="C23" s="12" t="s">
        <v>949</v>
      </c>
      <c r="D23" s="12" t="s">
        <v>401</v>
      </c>
      <c r="E23" s="9" t="str">
        <f t="shared" si="0"/>
        <v xml:space="preserve">INSERT INTO femicidio (idFemicidio,Tipo, Fecha, Motivo) VALUES (' JP2017ch22 ',' Incineracion ', ' 42877 ',' ND '); 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30.75" thickBot="1">
      <c r="A24" s="35" t="s">
        <v>880</v>
      </c>
      <c r="B24" s="36">
        <v>42891</v>
      </c>
      <c r="C24" s="12" t="s">
        <v>940</v>
      </c>
      <c r="D24" s="12" t="s">
        <v>950</v>
      </c>
      <c r="E24" s="9" t="str">
        <f t="shared" si="0"/>
        <v xml:space="preserve">INSERT INTO femicidio (idFemicidio,Tipo, Fecha, Motivo) VALUES (' MS2017ch23 ',' Asfixia ', ' 42891 ',' Infidelidad '); 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30.75" thickBot="1">
      <c r="A25" s="35" t="s">
        <v>881</v>
      </c>
      <c r="B25" s="36">
        <v>42891</v>
      </c>
      <c r="C25" s="12" t="s">
        <v>942</v>
      </c>
      <c r="D25" s="12" t="s">
        <v>401</v>
      </c>
      <c r="E25" s="9" t="str">
        <f t="shared" si="0"/>
        <v xml:space="preserve">INSERT INTO femicidio (idFemicidio,Tipo, Fecha, Motivo) VALUES (' RB2017ch24 ',' Apuñalamiento ', ' 42891 ',' ND '); 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30.75" thickBot="1">
      <c r="A26" s="35" t="s">
        <v>882</v>
      </c>
      <c r="B26" s="36">
        <v>42899</v>
      </c>
      <c r="C26" s="12" t="s">
        <v>942</v>
      </c>
      <c r="D26" s="12" t="s">
        <v>401</v>
      </c>
      <c r="E26" s="9" t="str">
        <f t="shared" si="0"/>
        <v xml:space="preserve">INSERT INTO femicidio (idFemicidio,Tipo, Fecha, Motivo) VALUES (' PV2017ch25 ',' Apuñalamiento ', ' 42899 ',' ND '); 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27" thickBot="1">
      <c r="A27" s="35" t="s">
        <v>883</v>
      </c>
      <c r="B27" s="36">
        <v>42944</v>
      </c>
      <c r="C27" s="12" t="s">
        <v>940</v>
      </c>
      <c r="D27" s="12" t="s">
        <v>950</v>
      </c>
      <c r="E27" s="9" t="str">
        <f t="shared" si="0"/>
        <v xml:space="preserve">INSERT INTO femicidio (idFemicidio,Tipo, Fecha, Motivo) VALUES (' FR2017ch26 ',' Asfixia ', ' 42944 ',' Infidelidad '); 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0.75" thickBot="1">
      <c r="A28" s="35" t="s">
        <v>884</v>
      </c>
      <c r="B28" s="36">
        <v>42957</v>
      </c>
      <c r="C28" s="12" t="s">
        <v>942</v>
      </c>
      <c r="D28" s="12" t="s">
        <v>948</v>
      </c>
      <c r="E28" s="9" t="str">
        <f t="shared" si="0"/>
        <v xml:space="preserve">INSERT INTO femicidio (idFemicidio,Tipo, Fecha, Motivo) VALUES (' YB2017ch27 ',' Apuñalamiento ', ' 42957 ',' Celos '); 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30.75" thickBot="1">
      <c r="A29" s="35" t="s">
        <v>885</v>
      </c>
      <c r="B29" s="36">
        <v>42974</v>
      </c>
      <c r="C29" s="12" t="s">
        <v>943</v>
      </c>
      <c r="D29" s="12" t="s">
        <v>944</v>
      </c>
      <c r="E29" s="9" t="str">
        <f t="shared" si="0"/>
        <v xml:space="preserve">INSERT INTO femicidio (idFemicidio,Tipo, Fecha, Motivo) VALUES (' JS2017ch28 ',' Disparo ', ' 42974 ',' Ataque de Ira '); 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30.75" thickBot="1">
      <c r="A30" s="35" t="s">
        <v>886</v>
      </c>
      <c r="B30" s="36">
        <v>42978</v>
      </c>
      <c r="C30" s="12" t="s">
        <v>946</v>
      </c>
      <c r="D30" s="12" t="s">
        <v>951</v>
      </c>
      <c r="E30" s="9" t="str">
        <f t="shared" si="0"/>
        <v xml:space="preserve">INSERT INTO femicidio (idFemicidio,Tipo, Fecha, Motivo) VALUES (' GO2017ch29 ',' Golpe ', ' 42978 ',' Ataque de ira '); 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30.75" thickBot="1">
      <c r="A31" s="35" t="s">
        <v>887</v>
      </c>
      <c r="B31" s="36">
        <v>42985</v>
      </c>
      <c r="C31" s="12" t="s">
        <v>941</v>
      </c>
      <c r="D31" s="12" t="s">
        <v>401</v>
      </c>
      <c r="E31" s="9" t="str">
        <f t="shared" si="0"/>
        <v xml:space="preserve">INSERT INTO femicidio (idFemicidio,Tipo, Fecha, Motivo) VALUES (' IG2017ch30 ',' Descuartizada ', ' 42985 ',' ND '); 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30.75" thickBot="1">
      <c r="A32" s="35" t="s">
        <v>888</v>
      </c>
      <c r="B32" s="36">
        <v>42987</v>
      </c>
      <c r="C32" s="12" t="s">
        <v>943</v>
      </c>
      <c r="D32" s="12" t="s">
        <v>401</v>
      </c>
      <c r="E32" s="9" t="str">
        <f t="shared" si="0"/>
        <v xml:space="preserve">INSERT INTO femicidio (idFemicidio,Tipo, Fecha, Motivo) VALUES (' AA2017ch31 ',' Disparo ', ' 42987 ',' ND '); 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30.75" thickBot="1">
      <c r="A33" s="35" t="s">
        <v>889</v>
      </c>
      <c r="B33" s="36">
        <v>43011</v>
      </c>
      <c r="C33" s="12" t="s">
        <v>942</v>
      </c>
      <c r="D33" s="12" t="s">
        <v>944</v>
      </c>
      <c r="E33" s="9" t="str">
        <f t="shared" si="0"/>
        <v xml:space="preserve">INSERT INTO femicidio (idFemicidio,Tipo, Fecha, Motivo) VALUES (' MH2017ch32 ',' Apuñalamiento ', ' 43011 ',' Ataque de Ira '); 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30.75" thickBot="1">
      <c r="A34" s="35" t="s">
        <v>890</v>
      </c>
      <c r="B34" s="36">
        <v>43028</v>
      </c>
      <c r="C34" s="12" t="s">
        <v>942</v>
      </c>
      <c r="D34" s="12" t="s">
        <v>944</v>
      </c>
      <c r="E34" s="9" t="str">
        <f t="shared" si="0"/>
        <v xml:space="preserve">INSERT INTO femicidio (idFemicidio,Tipo, Fecha, Motivo) VALUES (' CA2017ch33 ',' Apuñalamiento ', ' 43028 ',' Ataque de Ira '); 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30.75" thickBot="1">
      <c r="A35" s="35" t="s">
        <v>891</v>
      </c>
      <c r="B35" s="36">
        <v>43029</v>
      </c>
      <c r="C35" s="12" t="s">
        <v>942</v>
      </c>
      <c r="D35" s="12" t="s">
        <v>401</v>
      </c>
      <c r="E35" s="9" t="str">
        <f t="shared" si="0"/>
        <v xml:space="preserve">INSERT INTO femicidio (idFemicidio,Tipo, Fecha, Motivo) VALUES (' DM2017ch34 ',' Apuñalamiento ', ' 43029 ',' ND '); 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30.75" thickBot="1">
      <c r="A36" s="35" t="s">
        <v>892</v>
      </c>
      <c r="B36" s="36">
        <v>43038</v>
      </c>
      <c r="C36" s="12" t="s">
        <v>942</v>
      </c>
      <c r="D36" s="12" t="s">
        <v>948</v>
      </c>
      <c r="E36" s="9" t="str">
        <f t="shared" si="0"/>
        <v xml:space="preserve">INSERT INTO femicidio (idFemicidio,Tipo, Fecha, Motivo) VALUES (' MM2017ch35 ',' Apuñalamiento ', ' 43038 ',' Celos '); 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27" thickBot="1">
      <c r="A37" s="35" t="s">
        <v>893</v>
      </c>
      <c r="B37" s="36">
        <v>43038</v>
      </c>
      <c r="C37" s="12" t="s">
        <v>946</v>
      </c>
      <c r="D37" s="12" t="s">
        <v>952</v>
      </c>
      <c r="E37" s="9" t="str">
        <f t="shared" si="0"/>
        <v xml:space="preserve">INSERT INTO femicidio (idFemicidio,Tipo, Fecha, Motivo) VALUES (' VZ2017ch36 ',' Golpe ', ' 43038 ',' Amenazas '); 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30.75" thickBot="1">
      <c r="A38" s="35" t="s">
        <v>894</v>
      </c>
      <c r="B38" s="36">
        <v>43049</v>
      </c>
      <c r="C38" s="12" t="s">
        <v>942</v>
      </c>
      <c r="D38" s="12" t="s">
        <v>953</v>
      </c>
      <c r="E38" s="9" t="str">
        <f t="shared" si="0"/>
        <v xml:space="preserve">INSERT INTO femicidio (idFemicidio,Tipo, Fecha, Motivo) VALUES (' CV2017ch37 ',' Apuñalamiento ', ' 43049 ',' Alcoholismo '); 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30.75" thickBot="1">
      <c r="A39" s="35" t="s">
        <v>895</v>
      </c>
      <c r="B39" s="36">
        <v>43050</v>
      </c>
      <c r="C39" s="12" t="s">
        <v>942</v>
      </c>
      <c r="D39" s="12" t="s">
        <v>948</v>
      </c>
      <c r="E39" s="9" t="str">
        <f t="shared" si="0"/>
        <v xml:space="preserve">INSERT INTO femicidio (idFemicidio,Tipo, Fecha, Motivo) VALUES (' Sd2017ch38 ',' Apuñalamiento ', ' 43050 ',' Celos '); 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30.75" thickBot="1">
      <c r="A40" s="35" t="s">
        <v>896</v>
      </c>
      <c r="B40" s="36">
        <v>43058</v>
      </c>
      <c r="C40" s="12" t="s">
        <v>942</v>
      </c>
      <c r="D40" s="12" t="s">
        <v>948</v>
      </c>
      <c r="E40" s="9" t="str">
        <f t="shared" si="0"/>
        <v xml:space="preserve">INSERT INTO femicidio (idFemicidio,Tipo, Fecha, Motivo) VALUES (' KU2017ch39 ',' Apuñalamiento ', ' 43058 ',' Celos '); 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30.75" thickBot="1">
      <c r="A41" s="35" t="s">
        <v>897</v>
      </c>
      <c r="B41" s="36">
        <v>43068</v>
      </c>
      <c r="C41" s="12" t="s">
        <v>943</v>
      </c>
      <c r="D41" s="12" t="s">
        <v>944</v>
      </c>
      <c r="E41" s="9" t="str">
        <f t="shared" si="0"/>
        <v xml:space="preserve">INSERT INTO femicidio (idFemicidio,Tipo, Fecha, Motivo) VALUES (' LR2017ch40 ',' Disparo ', ' 43068 ',' Ataque de Ira '); 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30.75" thickBot="1">
      <c r="A42" s="35" t="s">
        <v>898</v>
      </c>
      <c r="B42" s="36">
        <v>43077</v>
      </c>
      <c r="C42" s="12" t="s">
        <v>942</v>
      </c>
      <c r="D42" s="12" t="s">
        <v>401</v>
      </c>
      <c r="E42" s="9" t="str">
        <f t="shared" si="0"/>
        <v xml:space="preserve">INSERT INTO femicidio (idFemicidio,Tipo, Fecha, Motivo) VALUES (' YJ2017ch41 ',' Apuñalamiento ', ' 43077 ',' ND '); 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30.75" thickBot="1">
      <c r="A43" s="35" t="s">
        <v>899</v>
      </c>
      <c r="B43" s="36">
        <v>42371</v>
      </c>
      <c r="C43" s="12" t="s">
        <v>942</v>
      </c>
      <c r="D43" s="12" t="s">
        <v>401</v>
      </c>
      <c r="E43" s="9" t="str">
        <f t="shared" si="0"/>
        <v xml:space="preserve">INSERT INTO femicidio (idFemicidio,Tipo, Fecha, Motivo) VALUES (' CG2016ch1 ',' Apuñalamiento ', ' 42371 ',' ND '); 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30.75" thickBot="1">
      <c r="A44" s="35" t="s">
        <v>900</v>
      </c>
      <c r="B44" s="36">
        <v>42379</v>
      </c>
      <c r="C44" s="12" t="s">
        <v>942</v>
      </c>
      <c r="D44" s="12" t="s">
        <v>401</v>
      </c>
      <c r="E44" s="9" t="str">
        <f t="shared" si="0"/>
        <v xml:space="preserve">INSERT INTO femicidio (idFemicidio,Tipo, Fecha, Motivo) VALUES (' MC2016ch2 ',' Apuñalamiento ', ' 42379 ',' ND '); 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27" thickBot="1">
      <c r="A45" s="35" t="s">
        <v>901</v>
      </c>
      <c r="B45" s="36">
        <v>42415</v>
      </c>
      <c r="C45" s="12" t="s">
        <v>943</v>
      </c>
      <c r="D45" s="12" t="s">
        <v>401</v>
      </c>
      <c r="E45" s="9" t="str">
        <f t="shared" si="0"/>
        <v xml:space="preserve">INSERT INTO femicidio (idFemicidio,Tipo, Fecha, Motivo) VALUES (' EE2016ch3 ',' Disparo ', ' 42415 ',' ND '); 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27" thickBot="1">
      <c r="A46" s="35" t="s">
        <v>902</v>
      </c>
      <c r="B46" s="36">
        <v>42424</v>
      </c>
      <c r="C46" s="12" t="s">
        <v>943</v>
      </c>
      <c r="D46" s="12" t="s">
        <v>401</v>
      </c>
      <c r="E46" s="9" t="str">
        <f t="shared" si="0"/>
        <v xml:space="preserve">INSERT INTO femicidio (idFemicidio,Tipo, Fecha, Motivo) VALUES (' CB2016ch4 ',' Disparo ', ' 42424 ',' ND '); 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30.75" thickBot="1">
      <c r="A47" s="35" t="s">
        <v>903</v>
      </c>
      <c r="B47" s="36">
        <v>42432</v>
      </c>
      <c r="C47" s="12" t="s">
        <v>947</v>
      </c>
      <c r="D47" s="12" t="s">
        <v>944</v>
      </c>
      <c r="E47" s="9" t="str">
        <f t="shared" si="0"/>
        <v xml:space="preserve">INSERT INTO femicidio (idFemicidio,Tipo, Fecha, Motivo) VALUES (' KW2016ch5 ',' Estrangulamiento ', ' 42432 ',' Ataque de Ira '); </v>
      </c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30.75" thickBot="1">
      <c r="A48" s="35" t="s">
        <v>904</v>
      </c>
      <c r="B48" s="36">
        <v>42434</v>
      </c>
      <c r="C48" s="12" t="s">
        <v>947</v>
      </c>
      <c r="D48" s="12" t="s">
        <v>948</v>
      </c>
      <c r="E48" s="9" t="str">
        <f t="shared" si="0"/>
        <v xml:space="preserve">INSERT INTO femicidio (idFemicidio,Tipo, Fecha, Motivo) VALUES (' Y 2016ch6 ',' Estrangulamiento ', ' 42434 ',' Celos '); 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27" thickBot="1">
      <c r="A49" s="35" t="s">
        <v>905</v>
      </c>
      <c r="B49" s="36">
        <v>42434</v>
      </c>
      <c r="C49" s="12" t="s">
        <v>946</v>
      </c>
      <c r="D49" s="12" t="s">
        <v>948</v>
      </c>
      <c r="E49" s="9" t="str">
        <f t="shared" si="0"/>
        <v xml:space="preserve">INSERT INTO femicidio (idFemicidio,Tipo, Fecha, Motivo) VALUES (' SS2016ch7 ',' Golpe ', ' 42434 ',' Celos '); 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27" thickBot="1">
      <c r="A50" s="35" t="s">
        <v>906</v>
      </c>
      <c r="B50" s="36">
        <v>42436</v>
      </c>
      <c r="C50" s="12" t="s">
        <v>954</v>
      </c>
      <c r="D50" s="12" t="s">
        <v>401</v>
      </c>
      <c r="E50" s="9" t="str">
        <f t="shared" si="0"/>
        <v xml:space="preserve">INSERT INTO femicidio (idFemicidio,Tipo, Fecha, Motivo) VALUES (' MC2016ch8 ',' Degollacion ', ' 42436 ',' ND '); 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30.75" thickBot="1">
      <c r="A51" s="35" t="s">
        <v>907</v>
      </c>
      <c r="B51" s="36">
        <v>42437</v>
      </c>
      <c r="C51" s="12" t="s">
        <v>942</v>
      </c>
      <c r="D51" s="12" t="s">
        <v>401</v>
      </c>
      <c r="E51" s="9" t="str">
        <f t="shared" si="0"/>
        <v xml:space="preserve">INSERT INTO femicidio (idFemicidio,Tipo, Fecha, Motivo) VALUES (' AG2016ch9 ',' Apuñalamiento ', ' 42437 ',' ND '); </v>
      </c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27" thickBot="1">
      <c r="A52" s="35" t="s">
        <v>908</v>
      </c>
      <c r="B52" s="36">
        <v>42437</v>
      </c>
      <c r="C52" s="12" t="s">
        <v>954</v>
      </c>
      <c r="D52" s="12" t="s">
        <v>955</v>
      </c>
      <c r="E52" s="9" t="str">
        <f t="shared" si="0"/>
        <v xml:space="preserve">INSERT INTO femicidio (idFemicidio,Tipo, Fecha, Motivo) VALUES (' NL2016ch10 ',' Degollacion ', ' 42437 ',' Maltrato '); 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30.75" thickBot="1">
      <c r="A53" s="35" t="s">
        <v>909</v>
      </c>
      <c r="B53" s="36">
        <v>42439</v>
      </c>
      <c r="C53" s="12" t="s">
        <v>943</v>
      </c>
      <c r="D53" s="12" t="s">
        <v>401</v>
      </c>
      <c r="E53" s="9" t="str">
        <f t="shared" si="0"/>
        <v xml:space="preserve">INSERT INTO femicidio (idFemicidio,Tipo, Fecha, Motivo) VALUES (' NA2016ch13 ',' Disparo ', ' 42439 ',' ND '); </v>
      </c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27" thickBot="1">
      <c r="A54" s="35" t="s">
        <v>910</v>
      </c>
      <c r="B54" s="36">
        <v>42454</v>
      </c>
      <c r="C54" s="12" t="s">
        <v>946</v>
      </c>
      <c r="D54" s="12" t="s">
        <v>948</v>
      </c>
      <c r="E54" s="9" t="str">
        <f t="shared" si="0"/>
        <v xml:space="preserve">INSERT INTO femicidio (idFemicidio,Tipo, Fecha, Motivo) VALUES (' YA2016ch14 ',' Golpe ', ' 42454 ',' Celos '); 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30.75" thickBot="1">
      <c r="A55" s="35" t="s">
        <v>911</v>
      </c>
      <c r="B55" s="36">
        <v>42497</v>
      </c>
      <c r="C55" s="12" t="s">
        <v>942</v>
      </c>
      <c r="D55" s="12" t="s">
        <v>401</v>
      </c>
      <c r="E55" s="9" t="str">
        <f t="shared" si="0"/>
        <v xml:space="preserve">INSERT INTO femicidio (idFemicidio,Tipo, Fecha, Motivo) VALUES (' AO2016ch18 ',' Apuñalamiento ', ' 42497 ',' ND '); 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30.75" thickBot="1">
      <c r="A56" s="35" t="s">
        <v>912</v>
      </c>
      <c r="B56" s="36">
        <v>42502</v>
      </c>
      <c r="C56" s="12" t="s">
        <v>946</v>
      </c>
      <c r="D56" s="12" t="s">
        <v>956</v>
      </c>
      <c r="E56" s="9" t="str">
        <f t="shared" si="0"/>
        <v xml:space="preserve">INSERT INTO femicidio (idFemicidio,Tipo, Fecha, Motivo) VALUES (' BL2016ch19 ',' Golpe ', ' 42502 ',' Ruptura, Celos '); 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27" thickBot="1">
      <c r="A57" s="35" t="s">
        <v>913</v>
      </c>
      <c r="B57" s="36">
        <v>42516</v>
      </c>
      <c r="C57" s="12" t="s">
        <v>943</v>
      </c>
      <c r="D57" s="12" t="s">
        <v>401</v>
      </c>
      <c r="E57" s="9" t="str">
        <f t="shared" si="0"/>
        <v xml:space="preserve">INSERT INTO femicidio (idFemicidio,Tipo, Fecha, Motivo) VALUES (' V 2016ch21 ',' Disparo ', ' 42516 ',' ND '); </v>
      </c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30.75" thickBot="1">
      <c r="A58" s="35" t="s">
        <v>914</v>
      </c>
      <c r="B58" s="36">
        <v>42519</v>
      </c>
      <c r="C58" s="12" t="s">
        <v>942</v>
      </c>
      <c r="D58" s="12" t="s">
        <v>401</v>
      </c>
      <c r="E58" s="9" t="str">
        <f t="shared" si="0"/>
        <v xml:space="preserve">INSERT INTO femicidio (idFemicidio,Tipo, Fecha, Motivo) VALUES (' VG2016ch22 ',' Apuñalamiento ', ' 42519 ',' ND '); 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30.75" thickBot="1">
      <c r="A59" s="35" t="s">
        <v>915</v>
      </c>
      <c r="B59" s="36">
        <v>42525</v>
      </c>
      <c r="C59" s="12" t="s">
        <v>946</v>
      </c>
      <c r="D59" s="12" t="s">
        <v>401</v>
      </c>
      <c r="E59" s="9" t="str">
        <f t="shared" si="0"/>
        <v xml:space="preserve">INSERT INTO femicidio (idFemicidio,Tipo, Fecha, Motivo) VALUES (' MG2016ch23 ',' Golpe ', ' 42525 ',' ND '); 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27" thickBot="1">
      <c r="A60" s="35" t="s">
        <v>916</v>
      </c>
      <c r="B60" s="36">
        <v>42546</v>
      </c>
      <c r="C60" s="12" t="s">
        <v>946</v>
      </c>
      <c r="D60" s="12" t="s">
        <v>401</v>
      </c>
      <c r="E60" s="9" t="str">
        <f t="shared" si="0"/>
        <v xml:space="preserve">INSERT INTO femicidio (idFemicidio,Tipo, Fecha, Motivo) VALUES (' NS2016ch24 ',' Golpe ', ' 42546 ',' ND '); 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30.75" thickBot="1">
      <c r="A61" s="35" t="s">
        <v>917</v>
      </c>
      <c r="B61" s="36">
        <v>42578</v>
      </c>
      <c r="C61" s="12" t="s">
        <v>942</v>
      </c>
      <c r="D61" s="12" t="s">
        <v>401</v>
      </c>
      <c r="E61" s="9" t="str">
        <f t="shared" si="0"/>
        <v xml:space="preserve">INSERT INTO femicidio (idFemicidio,Tipo, Fecha, Motivo) VALUES (' BT2016ch25 ',' Apuñalamiento ', ' 42578 ',' ND '); </v>
      </c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30.75" thickBot="1">
      <c r="A62" s="35" t="s">
        <v>918</v>
      </c>
      <c r="B62" s="36">
        <v>42592</v>
      </c>
      <c r="C62" s="12" t="s">
        <v>947</v>
      </c>
      <c r="D62" s="12" t="s">
        <v>948</v>
      </c>
      <c r="E62" s="9" t="str">
        <f t="shared" si="0"/>
        <v xml:space="preserve">INSERT INTO femicidio (idFemicidio,Tipo, Fecha, Motivo) VALUES (' GF2016ch26 ',' Estrangulamiento ', ' 42592 ',' Celos '); 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30.75" thickBot="1">
      <c r="A63" s="35" t="s">
        <v>919</v>
      </c>
      <c r="B63" s="36">
        <v>42602</v>
      </c>
      <c r="C63" s="12" t="s">
        <v>943</v>
      </c>
      <c r="D63" s="12" t="s">
        <v>957</v>
      </c>
      <c r="E63" s="9" t="str">
        <f t="shared" si="0"/>
        <v xml:space="preserve">INSERT INTO femicidio (idFemicidio,Tipo, Fecha, Motivo) VALUES (' NP2016ch27 ',' Disparo ', ' 42602 ',' Confusión '); </v>
      </c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30.75" thickBot="1">
      <c r="A64" s="35" t="s">
        <v>920</v>
      </c>
      <c r="B64" s="36">
        <v>42614</v>
      </c>
      <c r="C64" s="12" t="s">
        <v>947</v>
      </c>
      <c r="D64" s="12" t="s">
        <v>401</v>
      </c>
      <c r="E64" s="9" t="str">
        <f t="shared" si="0"/>
        <v xml:space="preserve">INSERT INTO femicidio (idFemicidio,Tipo, Fecha, Motivo) VALUES (' YC2016ch28 ',' Estrangulamiento ', ' 42614 ',' ND '); 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27" thickBot="1">
      <c r="A65" s="35" t="s">
        <v>921</v>
      </c>
      <c r="B65" s="36">
        <v>42616</v>
      </c>
      <c r="C65" s="12" t="s">
        <v>940</v>
      </c>
      <c r="D65" s="12" t="s">
        <v>948</v>
      </c>
      <c r="E65" s="9" t="str">
        <f t="shared" si="0"/>
        <v xml:space="preserve">INSERT INTO femicidio (idFemicidio,Tipo, Fecha, Motivo) VALUES (' BB2016ch29 ',' Asfixia ', ' 42616 ',' Celos '); </v>
      </c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30.75" thickBot="1">
      <c r="A66" s="35" t="s">
        <v>922</v>
      </c>
      <c r="B66" s="36">
        <v>42620</v>
      </c>
      <c r="C66" s="12" t="s">
        <v>942</v>
      </c>
      <c r="D66" s="12" t="s">
        <v>948</v>
      </c>
      <c r="E66" s="9" t="str">
        <f t="shared" si="0"/>
        <v xml:space="preserve">INSERT INTO femicidio (idFemicidio,Tipo, Fecha, Motivo) VALUES (' MF2016ch30 ',' Apuñalamiento ', ' 42620 ',' Celos '); 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27" thickBot="1">
      <c r="A67" s="35" t="s">
        <v>923</v>
      </c>
      <c r="B67" s="36">
        <v>42623</v>
      </c>
      <c r="C67" s="12" t="s">
        <v>401</v>
      </c>
      <c r="D67" s="12" t="s">
        <v>401</v>
      </c>
      <c r="E67" s="9" t="str">
        <f t="shared" ref="E67:E80" si="1">"INSERT INTO femicidio (idFemicidio,Tipo, Fecha, Motivo) VALUES (' "&amp;A67&amp;" ',' "&amp;C67&amp;" ', ' "&amp;B67&amp;" ',' "&amp;D67&amp;" '); "</f>
        <v xml:space="preserve">INSERT INTO femicidio (idFemicidio,Tipo, Fecha, Motivo) VALUES (' M 2016ch31 ',' ND ', ' 42623 ',' ND '); </v>
      </c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27" thickBot="1">
      <c r="A68" s="35" t="s">
        <v>924</v>
      </c>
      <c r="B68" s="36">
        <v>42632</v>
      </c>
      <c r="C68" s="12" t="s">
        <v>940</v>
      </c>
      <c r="D68" s="12" t="s">
        <v>401</v>
      </c>
      <c r="E68" s="9" t="str">
        <f t="shared" si="1"/>
        <v xml:space="preserve">INSERT INTO femicidio (idFemicidio,Tipo, Fecha, Motivo) VALUES (' LJ2016ch32 ',' Asfixia ', ' 42632 ',' ND '); 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30.75" thickBot="1">
      <c r="A69" s="35" t="s">
        <v>925</v>
      </c>
      <c r="B69" s="36">
        <v>42650</v>
      </c>
      <c r="C69" s="12" t="s">
        <v>943</v>
      </c>
      <c r="D69" s="12" t="s">
        <v>401</v>
      </c>
      <c r="E69" s="9" t="str">
        <f t="shared" si="1"/>
        <v xml:space="preserve">INSERT INTO femicidio (idFemicidio,Tipo, Fecha, Motivo) VALUES (' DA2016ch33 ',' Disparo ', ' 42650 ',' ND '); 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30.75" thickBot="1">
      <c r="A70" s="35" t="s">
        <v>926</v>
      </c>
      <c r="B70" s="36">
        <v>42652</v>
      </c>
      <c r="C70" s="12" t="s">
        <v>942</v>
      </c>
      <c r="D70" s="12" t="s">
        <v>401</v>
      </c>
      <c r="E70" s="9" t="str">
        <f t="shared" si="1"/>
        <v xml:space="preserve">INSERT INTO femicidio (idFemicidio,Tipo, Fecha, Motivo) VALUES (' CM2016ch34 ',' Apuñalamiento ', ' 42652 ',' ND '); 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30.75" thickBot="1">
      <c r="A71" s="35" t="s">
        <v>927</v>
      </c>
      <c r="B71" s="36">
        <v>42656</v>
      </c>
      <c r="C71" s="12" t="s">
        <v>942</v>
      </c>
      <c r="D71" s="12" t="s">
        <v>958</v>
      </c>
      <c r="E71" s="9" t="str">
        <f t="shared" si="1"/>
        <v xml:space="preserve">INSERT INTO femicidio (idFemicidio,Tipo, Fecha, Motivo) VALUES (' VM2016ch35 ',' Apuñalamiento ', ' 42656 ',' Discusión '); </v>
      </c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30.75" thickBot="1">
      <c r="A72" s="35" t="s">
        <v>928</v>
      </c>
      <c r="B72" s="36">
        <v>42660</v>
      </c>
      <c r="C72" s="12" t="s">
        <v>942</v>
      </c>
      <c r="D72" s="12" t="s">
        <v>401</v>
      </c>
      <c r="E72" s="9" t="str">
        <f t="shared" si="1"/>
        <v xml:space="preserve">INSERT INTO femicidio (idFemicidio,Tipo, Fecha, Motivo) VALUES (' BM2016ch36 ',' Apuñalamiento ', ' 42660 ',' ND '); 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27" thickBot="1">
      <c r="A73" s="35" t="s">
        <v>929</v>
      </c>
      <c r="B73" s="36">
        <v>42664</v>
      </c>
      <c r="C73" s="12" t="s">
        <v>940</v>
      </c>
      <c r="D73" s="12" t="s">
        <v>401</v>
      </c>
      <c r="E73" s="9" t="str">
        <f t="shared" si="1"/>
        <v xml:space="preserve">INSERT INTO femicidio (idFemicidio,Tipo, Fecha, Motivo) VALUES (' CC2016ch37 ',' Asfixia ', ' 42664 ',' ND '); </v>
      </c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30.75" thickBot="1">
      <c r="A74" s="35" t="s">
        <v>930</v>
      </c>
      <c r="B74" s="36">
        <v>42665</v>
      </c>
      <c r="C74" s="12" t="s">
        <v>946</v>
      </c>
      <c r="D74" s="12" t="s">
        <v>401</v>
      </c>
      <c r="E74" s="9" t="str">
        <f t="shared" si="1"/>
        <v xml:space="preserve">INSERT INTO femicidio (idFemicidio,Tipo, Fecha, Motivo) VALUES (' PQ2016ch38 ',' Golpe ', ' 42665 ',' ND '); 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30.75" thickBot="1">
      <c r="A75" s="35" t="s">
        <v>931</v>
      </c>
      <c r="B75" s="36">
        <v>42667</v>
      </c>
      <c r="C75" s="12" t="s">
        <v>947</v>
      </c>
      <c r="D75" s="12" t="s">
        <v>401</v>
      </c>
      <c r="E75" s="9" t="str">
        <f t="shared" si="1"/>
        <v xml:space="preserve">INSERT INTO femicidio (idFemicidio,Tipo, Fecha, Motivo) VALUES (' CN2016ch39 ',' Estrangulamiento ', ' 42667 ',' ND '); </v>
      </c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30.75" thickBot="1">
      <c r="A76" s="35" t="s">
        <v>932</v>
      </c>
      <c r="B76" s="36">
        <v>42679</v>
      </c>
      <c r="C76" s="12" t="s">
        <v>947</v>
      </c>
      <c r="D76" s="12" t="s">
        <v>959</v>
      </c>
      <c r="E76" s="9" t="str">
        <f t="shared" si="1"/>
        <v xml:space="preserve">INSERT INTO femicidio (idFemicidio,Tipo, Fecha, Motivo) VALUES (' JS2016ch40 ',' Estrangulamiento ', ' 42679 ',' Drogas '); 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30.75" thickBot="1">
      <c r="A77" s="35" t="s">
        <v>933</v>
      </c>
      <c r="B77" s="36">
        <v>42682</v>
      </c>
      <c r="C77" s="12" t="s">
        <v>946</v>
      </c>
      <c r="D77" s="12" t="s">
        <v>401</v>
      </c>
      <c r="E77" s="9" t="str">
        <f t="shared" si="1"/>
        <v xml:space="preserve">INSERT INTO femicidio (idFemicidio,Tipo, Fecha, Motivo) VALUES (' NP2016ch41 ',' Golpe ', ' 42682 ',' ND '); </v>
      </c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30.75" thickBot="1">
      <c r="A78" s="35" t="s">
        <v>934</v>
      </c>
      <c r="B78" s="36">
        <v>42689</v>
      </c>
      <c r="C78" s="12" t="s">
        <v>942</v>
      </c>
      <c r="D78" s="12" t="s">
        <v>960</v>
      </c>
      <c r="E78" s="9" t="str">
        <f t="shared" si="1"/>
        <v xml:space="preserve">INSERT INTO femicidio (idFemicidio,Tipo, Fecha, Motivo) VALUES (' EU2016ch42 ',' Apuñalamiento ', ' 42689 ',' Depresión '); 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30.75" thickBot="1">
      <c r="A79" s="35" t="s">
        <v>935</v>
      </c>
      <c r="B79" s="36">
        <v>42696</v>
      </c>
      <c r="C79" s="12" t="s">
        <v>943</v>
      </c>
      <c r="D79" s="12" t="s">
        <v>961</v>
      </c>
      <c r="E79" s="9" t="str">
        <f t="shared" si="1"/>
        <v xml:space="preserve">INSERT INTO femicidio (idFemicidio,Tipo, Fecha, Motivo) VALUES (' MB2016ch43 ',' Disparo ', ' 42696 ',' Ruptura '); </v>
      </c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30.75" thickBot="1">
      <c r="A80" s="35" t="s">
        <v>936</v>
      </c>
      <c r="B80" s="36">
        <v>42696</v>
      </c>
      <c r="C80" s="12" t="s">
        <v>942</v>
      </c>
      <c r="D80" s="12" t="s">
        <v>958</v>
      </c>
      <c r="E80" s="9" t="str">
        <f t="shared" si="1"/>
        <v xml:space="preserve">INSERT INTO femicidio (idFemicidio,Tipo, Fecha, Motivo) VALUES (' MC2016ch44 ',' Apuñalamiento ', ' 42696 ',' Discusión '); 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5.75" thickBo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5.75" thickBo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5.75" thickBo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5.75" thickBo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5.75" thickBo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5.75" thickBo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5.75" thickBo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5.75" thickBo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5.75" thickBo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5.75" thickBo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5.75" thickBo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5.75" thickBo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5.75" thickBo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5.75" thickBo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5.75" thickBo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5.75" thickBo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5.75" thickBo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5.75" thickBo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5.75" thickBo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5.75" thickBo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5.75" thickBo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5.75" thickBo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5.75" thickBo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5.75" thickBo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5.75" thickBo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5.75" thickBo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5.75" thickBo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5.75" thickBo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5.75" thickBo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5.75" thickBo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5.75" thickBo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5.75" thickBo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5.75" thickBo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5.75" thickBo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5.75" thickBo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5.75" thickBo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5.75" thickBo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5.75" thickBo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5.75" thickBo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5.75" thickBo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5.75" thickBo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5.75" thickBo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5.75" thickBo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5.75" thickBo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5.75" thickBo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5.75" thickBo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5.75" thickBo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5.75" thickBo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5.75" thickBo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5.75" thickBo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5.75" thickBo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5.75" thickBo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5.75" thickBo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5.75" thickBo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5.75" thickBo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5.75" thickBo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5.75" thickBo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5.75" thickBo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5.75" thickBo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5.75" thickBo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5.75" thickBo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5.75" thickBo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5.75" thickBo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5.75" thickBo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5.75" thickBo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5.75" thickBo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5.75" thickBo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5.75" thickBo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5.75" thickBo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5.75" thickBo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5.75" thickBo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5.75" thickBo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5.75" thickBo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5.75" thickBo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5.75" thickBo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5.75" thickBo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5.75" thickBo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5.75" thickBo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5.75" thickBo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5.75" thickBo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5.75" thickBo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5.75" thickBo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5.75" thickBo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5.75" thickBo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5.75" thickBo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5.75" thickBo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5.75" thickBo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5.75" thickBo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5.75" thickBo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5.75" thickBo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5.75" thickBo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5.75" thickBo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5.75" thickBo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5.75" thickBo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5.75" thickBo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5.75" thickBo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5.75" thickBo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5.75" thickBo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5.75" thickBo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5.75" thickBo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5.75" thickBo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5.75" thickBo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5.75" thickBo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5.75" thickBo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5.75" thickBo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5.75" thickBo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5.75" thickBo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5.75" thickBo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5.75" thickBo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5.75" thickBo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5.75" thickBo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5.75" thickBo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5.75" thickBo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5.75" thickBo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5.75" thickBo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5.75" thickBo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5.75" thickBo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5.75" thickBo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5.75" thickBo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5.75" thickBo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5.75" thickBo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5.75" thickBo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5.75" thickBo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5.75" thickBo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5.75" thickBo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5.75" thickBo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5.75" thickBo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5.75" thickBo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5.75" thickBo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5.75" thickBo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5.75" thickBo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5.75" thickBo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5.75" thickBo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5.75" thickBo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5.75" thickBo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5.75" thickBo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5.75" thickBo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5.75" thickBo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5.75" thickBo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5.75" thickBo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5.75" thickBo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5.75" thickBo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5.75" thickBo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5.75" thickBo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5.75" thickBo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5.75" thickBo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5.75" thickBo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5.75" thickBo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5.75" thickBo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5.75" thickBo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5.75" thickBo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5.75" thickBo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5.75" thickBo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5.75" thickBo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5.75" thickBo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5.75" thickBo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5.75" thickBo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5.75" thickBo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5.75" thickBo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5.75" thickBo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5.75" thickBo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5.75" thickBo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5.75" thickBo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5.75" thickBo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5.75" thickBo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5.75" thickBo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5.75" thickBo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5.75" thickBo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5.75" thickBo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5.75" thickBo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5.75" thickBo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5.75" thickBo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5.75" thickBo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5.75" thickBo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5.75" thickBo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5.75" thickBo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5.75" thickBo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5.75" thickBo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5.75" thickBo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5.75" thickBo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5.75" thickBo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5.75" thickBo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5.75" thickBo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5.75" thickBo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5.75" thickBo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5.75" thickBo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5.75" thickBo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5.75" thickBo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5.75" thickBo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5.75" thickBo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5.75" thickBo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5.75" thickBo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5.75" thickBo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5.75" thickBo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5.75" thickBo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5.75" thickBo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5.75" thickBo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5.75" thickBo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5.75" thickBo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5.75" thickBo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5.75" thickBo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5.75" thickBo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5.75" thickBo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5.75" thickBo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5.75" thickBo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5.75" thickBo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5.75" thickBo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5.75" thickBo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5.75" thickBo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5.75" thickBo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5.75" thickBo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5.75" thickBo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5.75" thickBo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5.75" thickBo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5.75" thickBo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5.75" thickBo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5.75" thickBo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5.75" thickBo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5.75" thickBo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5.75" thickBo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5.75" thickBo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5.75" thickBo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5.75" thickBo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5.75" thickBo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5.75" thickBo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5.75" thickBo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5.75" thickBo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5.75" thickBo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5.75" thickBo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5.75" thickBo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5.75" thickBo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5.75" thickBo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5.75" thickBo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5.75" thickBo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5.75" thickBo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5.75" thickBo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5.75" thickBo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5.75" thickBo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5.75" thickBo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5.75" thickBo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5.75" thickBo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5.75" thickBo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5.75" thickBo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5.75" thickBo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5.75" thickBo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5.75" thickBo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5.75" thickBo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5.75" thickBo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5.75" thickBo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5.75" thickBo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5.75" thickBo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5.75" thickBo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5.75" thickBo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5.75" thickBo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5.75" thickBo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5.75" thickBo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5.75" thickBo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5.75" thickBo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5.75" thickBo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5.75" thickBo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5.75" thickBo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5.75" thickBo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5.75" thickBo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5.75" thickBo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5.75" thickBo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5.75" thickBo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5.75" thickBo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5.75" thickBo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5.75" thickBo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5.75" thickBo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5.75" thickBo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5.75" thickBo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5.75" thickBo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5.75" thickBo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5.75" thickBo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5.75" thickBo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5.75" thickBo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5.75" thickBo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5.75" thickBo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5.75" thickBo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5.75" thickBo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5.75" thickBo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5.75" thickBo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5.75" thickBo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5.75" thickBo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5.75" thickBo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5.75" thickBo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5.75" thickBo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5.75" thickBo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5.75" thickBo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5.75" thickBo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5.75" thickBo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5.75" thickBo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5.75" thickBo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5.75" thickBo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5.75" thickBo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5.75" thickBo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5.75" thickBo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5.75" thickBo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5.75" thickBo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5.75" thickBo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5.75" thickBo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5.75" thickBo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5.75" thickBo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5.75" thickBo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5.75" thickBo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5.75" thickBo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5.75" thickBo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5.75" thickBo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5.75" thickBo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5.75" thickBo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5.75" thickBo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5.75" thickBo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5.75" thickBo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5.75" thickBo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5.75" thickBo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5.75" thickBo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5.75" thickBo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5.75" thickBo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5.75" thickBo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5.75" thickBo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5.75" thickBo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5.75" thickBo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5.75" thickBo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5.75" thickBo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5.75" thickBo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5.75" thickBo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5.75" thickBo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5.75" thickBo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5.75" thickBo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5.75" thickBo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5.75" thickBo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5.75" thickBo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5.75" thickBo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5.75" thickBo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5.75" thickBo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5.75" thickBo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5.75" thickBo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5.75" thickBo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5.75" thickBo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5.75" thickBo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5.75" thickBo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5.75" thickBo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5.75" thickBo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5.75" thickBo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5.75" thickBo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5.75" thickBo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5.75" thickBo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5.75" thickBo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5.75" thickBo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5.75" thickBo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5.75" thickBo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5.75" thickBo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5.75" thickBo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5.75" thickBo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5.75" thickBo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5.75" thickBo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5.75" thickBo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5.75" thickBo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5.75" thickBo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5.75" thickBo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5.75" thickBo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5.75" thickBo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5.75" thickBo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5.75" thickBo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5.75" thickBo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5.75" thickBo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5.75" thickBo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5.75" thickBo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5.75" thickBo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5.75" thickBo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5.75" thickBo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5.75" thickBo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5.75" thickBo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5.75" thickBo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5.75" thickBo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5.75" thickBo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5.75" thickBo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5.75" thickBo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5.75" thickBo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5.75" thickBo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5.75" thickBo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5.75" thickBo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5.75" thickBo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5.75" thickBo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5.75" thickBo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5.75" thickBo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5.75" thickBo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5.75" thickBo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5.75" thickBo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5.75" thickBo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5.75" thickBo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5.75" thickBo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5.75" thickBo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5.75" thickBo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5.75" thickBo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5.75" thickBo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5.75" thickBo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5.75" thickBo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5.75" thickBo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5.75" thickBo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5.75" thickBo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5.75" thickBo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5.75" thickBo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5.75" thickBo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5.75" thickBo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5.75" thickBo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5.75" thickBo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5.75" thickBo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5.75" thickBo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5.75" thickBo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5.75" thickBo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5.75" thickBo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5.75" thickBo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5.75" thickBo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5.75" thickBo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5.75" thickBo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5.75" thickBo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5.75" thickBo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5.75" thickBo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5.75" thickBo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5.75" thickBo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5.75" thickBo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5.75" thickBo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5.75" thickBo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5.75" thickBo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5.75" thickBo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5.75" thickBo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5.75" thickBo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5.75" thickBo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5.75" thickBo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5.75" thickBo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5.75" thickBo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5.75" thickBo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5.75" thickBo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5.75" thickBo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5.75" thickBo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5.75" thickBo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5.75" thickBo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5.75" thickBo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5.75" thickBo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5.75" thickBo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5.75" thickBo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5.75" thickBo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5.75" thickBo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5.75" thickBo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5.75" thickBo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5.75" thickBo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5.75" thickBo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5.75" thickBo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5.75" thickBo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5.75" thickBo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5.75" thickBo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5.75" thickBo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5.75" thickBo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5.75" thickBo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5.75" thickBo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5.75" thickBo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5.75" thickBo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5.75" thickBo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5.75" thickBo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5.75" thickBo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5.75" thickBo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5.75" thickBo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5.75" thickBo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5.75" thickBo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5.75" thickBo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5.75" thickBo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5.75" thickBo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5.75" thickBo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5.75" thickBo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5.75" thickBo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5.75" thickBo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5.75" thickBo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5.75" thickBo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5.75" thickBo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5.75" thickBo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5.75" thickBo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5.75" thickBo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5.75" thickBo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5.75" thickBo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5.75" thickBo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5.75" thickBo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5.75" thickBo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5.75" thickBo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5.75" thickBo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5.75" thickBo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5.75" thickBo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5.75" thickBo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5.75" thickBo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5.75" thickBo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5.75" thickBo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5.75" thickBo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5.75" thickBo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5.75" thickBo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5.75" thickBo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5.75" thickBo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5.75" thickBo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5.75" thickBo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5.75" thickBo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5.75" thickBo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5.75" thickBo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5.75" thickBo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5.75" thickBo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5.75" thickBo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5.75" thickBo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5.75" thickBo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5.75" thickBo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5.75" thickBo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5.75" thickBo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5.75" thickBo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5.75" thickBo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5.75" thickBo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5.75" thickBo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5.75" thickBo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5.75" thickBo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5.75" thickBo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5.75" thickBo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5.75" thickBo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5.75" thickBo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5.75" thickBo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5.75" thickBo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5.75" thickBo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5.75" thickBo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5.75" thickBo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5.75" thickBo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5.75" thickBo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5.75" thickBo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5.75" thickBo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5.75" thickBo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5.75" thickBo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5.75" thickBo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5.75" thickBo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5.75" thickBo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5.75" thickBo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5.75" thickBo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5.75" thickBo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5.75" thickBo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5.75" thickBo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5.75" thickBo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5.75" thickBo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5.75" thickBo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5.75" thickBo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5.75" thickBo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5.75" thickBo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5.75" thickBo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5.75" thickBo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5.75" thickBo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5.75" thickBo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5.75" thickBo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5.75" thickBo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5.75" thickBo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5.75" thickBo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5.75" thickBo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5.75" thickBo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5.75" thickBo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5.75" thickBo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5.75" thickBo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5.75" thickBo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5.75" thickBo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5.75" thickBo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5.75" thickBo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5.75" thickBo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5.75" thickBo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5.75" thickBo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5.75" thickBo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5.75" thickBo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5.75" thickBo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5.75" thickBo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5.75" thickBo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5.75" thickBo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5.75" thickBo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5.75" thickBo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5.75" thickBo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5.75" thickBo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5.75" thickBo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5.75" thickBo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5.75" thickBo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5.75" thickBo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5.75" thickBo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5.75" thickBo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5.75" thickBo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5.75" thickBo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5.75" thickBo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5.75" thickBo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5.75" thickBo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5.75" thickBo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5.75" thickBo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5.75" thickBo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5.75" thickBo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5.75" thickBo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5.75" thickBo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5.75" thickBo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5.75" thickBo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5.75" thickBo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5.75" thickBo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5.75" thickBo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5.75" thickBo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5.75" thickBo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5.75" thickBo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5.75" thickBo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5.75" thickBo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5.75" thickBo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5.75" thickBo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5.75" thickBo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5.75" thickBo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5.75" thickBo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5.75" thickBo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5.75" thickBo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5.75" thickBo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5.75" thickBo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5.75" thickBo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5.75" thickBo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5.75" thickBo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5.75" thickBo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5.75" thickBo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5.75" thickBo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5.75" thickBo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5.75" thickBo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5.75" thickBo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5.75" thickBo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5.75" thickBo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5.75" thickBo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5.75" thickBo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5.75" thickBo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5.75" thickBo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5.75" thickBo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5.75" thickBo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5.75" thickBo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5.75" thickBo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5.75" thickBo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5.75" thickBo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5.75" thickBo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5.75" thickBo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5.75" thickBo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5.75" thickBo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5.75" thickBo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5.75" thickBo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5.75" thickBo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5.75" thickBo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5.75" thickBo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5.75" thickBo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5.75" thickBo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5.75" thickBo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5.75" thickBo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5.75" thickBo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5.75" thickBo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5.75" thickBo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5.75" thickBo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5.75" thickBo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5.75" thickBo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5.75" thickBo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5.75" thickBo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5.75" thickBo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5.75" thickBo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5.75" thickBo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5.75" thickBo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5.75" thickBo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5.75" thickBo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5.75" thickBo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5.75" thickBo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5.75" thickBo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5.75" thickBo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5.75" thickBo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5.75" thickBo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5.75" thickBo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5.75" thickBo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5.75" thickBo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5.75" thickBo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5.75" thickBo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5.75" thickBo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5.75" thickBo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5.75" thickBo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5.75" thickBo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5.75" thickBo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5.75" thickBo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5.75" thickBo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5.75" thickBo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5.75" thickBo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5.75" thickBo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5.75" thickBo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5.75" thickBo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5.75" thickBo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5.75" thickBo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5.75" thickBo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5.75" thickBo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5.75" thickBo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5.75" thickBo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5.75" thickBo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5.75" thickBo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5.75" thickBo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5.75" thickBo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5.75" thickBo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5.75" thickBo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5.75" thickBo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5.75" thickBo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5.75" thickBo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5.75" thickBo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5.75" thickBo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5.75" thickBo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5.75" thickBo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5.75" thickBo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5.75" thickBo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5.75" thickBo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5.75" thickBo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5.75" thickBo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5.75" thickBo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5.75" thickBo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5.75" thickBo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5.75" thickBo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5.75" thickBo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5.75" thickBo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5.75" thickBo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5.75" thickBo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5.75" thickBo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5.75" thickBo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5.75" thickBo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5.75" thickBo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5.75" thickBo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5.75" thickBo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5.75" thickBo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5.75" thickBo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5.75" thickBo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5.75" thickBo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5.75" thickBo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5.75" thickBo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5.75" thickBo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5.75" thickBo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5.75" thickBo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5.75" thickBo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5.75" thickBo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5.75" thickBo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5.75" thickBo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5.75" thickBo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5.75" thickBo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5.75" thickBo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5.75" thickBo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5.75" thickBo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5.75" thickBo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5.75" thickBo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5.75" thickBo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5.75" thickBo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5.75" thickBo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5.75" thickBo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5.75" thickBo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5.75" thickBo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5.75" thickBo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5.75" thickBo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5.75" thickBo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5.75" thickBo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5.75" thickBo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5.75" thickBo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5.75" thickBo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5.75" thickBo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5.75" thickBo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5.75" thickBo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5.75" thickBo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5.75" thickBo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5.75" thickBo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5.75" thickBo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5.75" thickBo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5.75" thickBo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5.75" thickBo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5.75" thickBo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5.75" thickBo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5.75" thickBo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5.75" thickBo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5.75" thickBo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5.75" thickBo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5.75" thickBo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5.75" thickBo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5.75" thickBo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5.75" thickBo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5.75" thickBo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5.75" thickBo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5.75" thickBo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5.75" thickBo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5.75" thickBo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5.75" thickBo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5.75" thickBo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5.75" thickBo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5.75" thickBo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5.75" thickBo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5.75" thickBo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5.75" thickBo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5.75" thickBo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5.75" thickBo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5.75" thickBo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5.75" thickBo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5.75" thickBo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5.75" thickBo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5.75" thickBo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5.75" thickBo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5.75" thickBo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5.75" thickBo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5.75" thickBo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5.75" thickBo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5.75" thickBo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5.75" thickBo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5.75" thickBo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5.75" thickBo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5.75" thickBo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5.75" thickBo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5.75" thickBo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5.75" thickBo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5.75" thickBo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5.75" thickBo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5.75" thickBo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5.75" thickBo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5.75" thickBo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5.75" thickBo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5.75" thickBo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5.75" thickBo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5.75" thickBo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5.75" thickBo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5.75" thickBo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5.75" thickBo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5.75" thickBo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5.75" thickBo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5.75" thickBo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5.75" thickBo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5.75" thickBo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5.75" thickBo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5.75" thickBo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5.75" thickBo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5.75" thickBo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5.75" thickBo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5.75" thickBo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5.75" thickBo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5.75" thickBo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5.75" thickBo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5.75" thickBo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5.75" thickBo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5.75" thickBo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5.75" thickBo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5.75" thickBo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5.75" thickBo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5.75" thickBo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5.75" thickBo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5.75" thickBo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5.75" thickBo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5.75" thickBo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5.75" thickBo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5.75" thickBo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5.75" thickBo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5.75" thickBo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5.75" thickBo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5.75" thickBo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5.75" thickBo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5.75" thickBo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5.75" thickBo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5.75" thickBo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5.75" thickBo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5.75" thickBo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5.75" thickBo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5.75" thickBo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5.75" thickBo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5.75" thickBo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5.75" thickBo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5.75" thickBo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5.75" thickBo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5.75" thickBo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5.75" thickBo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5.75" thickBo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5.75" thickBo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5.75" thickBo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5.75" thickBo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5.75" thickBo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5.75" thickBo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5.75" thickBo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5.75" thickBo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5.75" thickBo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5.75" thickBo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5.75" thickBo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5.75" thickBo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5.75" thickBo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5.75" thickBo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5.75" thickBo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5.75" thickBo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5.75" thickBo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5.75" thickBo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5.75" thickBo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5.75" thickBo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5.75" thickBo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5.75" thickBo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5.75" thickBo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5.75" thickBo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5.75" thickBo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5.75" thickBo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5.75" thickBo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5.75" thickBo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5.75" thickBo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5.75" thickBo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5.75" thickBo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5.75" thickBo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5.75" thickBo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5.75" thickBo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5.75" thickBo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5.75" thickBo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5.75" thickBo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5.75" thickBo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5.75" thickBo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5.75" thickBo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5.75" thickBo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5.75" thickBo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5.75" thickBo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5.75" thickBo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5.75" thickBo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5.75" thickBo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5.75" thickBo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5.75" thickBo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5.75" thickBo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5.75" thickBo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5.75" thickBo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5.75" thickBo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5.75" thickBo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5.75" thickBo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5.75" thickBo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5.75" thickBo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5.75" thickBo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0"/>
  <sheetViews>
    <sheetView tabSelected="1" topLeftCell="B1" zoomScale="115" zoomScaleNormal="115" workbookViewId="0">
      <selection activeCell="I2" sqref="I2"/>
    </sheetView>
  </sheetViews>
  <sheetFormatPr baseColWidth="10" defaultRowHeight="15"/>
  <cols>
    <col min="6" max="6" width="40.5703125" customWidth="1"/>
  </cols>
  <sheetData>
    <row r="1" spans="1:9" ht="15.75" thickBot="1">
      <c r="A1" s="38" t="s">
        <v>962</v>
      </c>
      <c r="B1" s="39" t="s">
        <v>963</v>
      </c>
      <c r="G1" s="38" t="s">
        <v>962</v>
      </c>
      <c r="H1" s="41" t="s">
        <v>1038</v>
      </c>
    </row>
    <row r="2" spans="1:9" ht="15.75" thickBot="1">
      <c r="A2" s="35" t="s">
        <v>858</v>
      </c>
      <c r="B2" s="39" t="s">
        <v>964</v>
      </c>
      <c r="C2" t="str">
        <f>"INSERT INTO femicidio_agresor(idFemicidio,idAgresor) VALUES (' "&amp;A2&amp;" ',' "&amp;B2&amp;" '); "</f>
        <v xml:space="preserve">INSERT INTO femicidio_agresor(idFemicidio,idAgresor) VALUES (' IP2017ch1 ',' SCatalán66 '); </v>
      </c>
      <c r="G2" s="35" t="s">
        <v>858</v>
      </c>
      <c r="H2" s="35" t="s">
        <v>1039</v>
      </c>
      <c r="I2" t="str">
        <f>"INSERT INTO femicidio_victima(idFemicidio,idVictima) VALUES (' "&amp;G2&amp;" ',' "&amp;H2&amp;" '); "</f>
        <v xml:space="preserve">INSERT INTO femicidio_victima(idFemicidio,idVictima) VALUES (' IP2017ch1 ',' IPeralta63 '); </v>
      </c>
    </row>
    <row r="3" spans="1:9" ht="15.75" thickBot="1">
      <c r="A3" s="35" t="s">
        <v>859</v>
      </c>
      <c r="B3" s="39" t="s">
        <v>965</v>
      </c>
      <c r="C3" t="str">
        <f t="shared" ref="C3:C66" si="0">"INSERT INTO femicidio_agresor(idFemicidio,idAgresor) VALUES (' "&amp;A3&amp;" ',' "&amp;B3&amp;" '); "</f>
        <v xml:space="preserve">INSERT INTO femicidio_agresor(idFemicidio,idAgresor) VALUES (' SN2017ch2 ',' CCallata38 '); </v>
      </c>
      <c r="G3" s="35" t="s">
        <v>859</v>
      </c>
      <c r="H3" s="35" t="s">
        <v>1040</v>
      </c>
      <c r="I3" t="str">
        <f t="shared" ref="I3:I66" si="1">"INSERT INTO femicidio_victima(idFemicidio,idVictima) VALUES (' "&amp;G3&amp;" ',' "&amp;H3&amp;" '); "</f>
        <v xml:space="preserve">INSERT INTO femicidio_victima(idFemicidio,idVictima) VALUES (' SN2017ch2 ',' SNinajaND '); </v>
      </c>
    </row>
    <row r="4" spans="1:9" ht="15.75" thickBot="1">
      <c r="A4" s="35" t="s">
        <v>860</v>
      </c>
      <c r="B4" s="39" t="s">
        <v>966</v>
      </c>
      <c r="C4" t="str">
        <f t="shared" si="0"/>
        <v xml:space="preserve">INSERT INTO femicidio_agresor(idFemicidio,idAgresor) VALUES (' LH2017ch3 ',' VVelasco0 '); </v>
      </c>
      <c r="G4" s="35" t="s">
        <v>860</v>
      </c>
      <c r="H4" s="35" t="s">
        <v>1041</v>
      </c>
      <c r="I4" t="str">
        <f t="shared" si="1"/>
        <v xml:space="preserve">INSERT INTO femicidio_victima(idFemicidio,idVictima) VALUES (' LH2017ch3 ',' LHurtado49 '); </v>
      </c>
    </row>
    <row r="5" spans="1:9" ht="30.75" thickBot="1">
      <c r="A5" s="35" t="s">
        <v>861</v>
      </c>
      <c r="B5" s="39" t="s">
        <v>967</v>
      </c>
      <c r="C5" t="str">
        <f t="shared" si="0"/>
        <v xml:space="preserve">INSERT INTO femicidio_agresor(idFemicidio,idAgresor) VALUES (' CV2017ch4 ',' SSilva45 '); </v>
      </c>
      <c r="G5" s="35" t="s">
        <v>861</v>
      </c>
      <c r="H5" s="35" t="s">
        <v>1042</v>
      </c>
      <c r="I5" t="str">
        <f t="shared" si="1"/>
        <v xml:space="preserve">INSERT INTO femicidio_victima(idFemicidio,idVictima) VALUES (' CV2017ch4 ',' CVásquez43 '); </v>
      </c>
    </row>
    <row r="6" spans="1:9" ht="30.75" thickBot="1">
      <c r="A6" s="35" t="s">
        <v>862</v>
      </c>
      <c r="B6" s="39" t="s">
        <v>968</v>
      </c>
      <c r="C6" t="str">
        <f t="shared" si="0"/>
        <v xml:space="preserve">INSERT INTO femicidio_agresor(idFemicidio,idAgresor) VALUES (' MG2017ch5 ',' JValenzuela25 '); </v>
      </c>
      <c r="G6" s="35" t="s">
        <v>862</v>
      </c>
      <c r="H6" s="35" t="s">
        <v>1043</v>
      </c>
      <c r="I6" t="str">
        <f t="shared" si="1"/>
        <v xml:space="preserve">INSERT INTO femicidio_victima(idFemicidio,idVictima) VALUES (' MG2017ch5 ',' MGormáz26 '); </v>
      </c>
    </row>
    <row r="7" spans="1:9" ht="30.75" thickBot="1">
      <c r="A7" s="35" t="s">
        <v>863</v>
      </c>
      <c r="B7" s="39" t="s">
        <v>969</v>
      </c>
      <c r="C7" t="str">
        <f t="shared" si="0"/>
        <v xml:space="preserve">INSERT INTO femicidio_agresor(idFemicidio,idAgresor) VALUES (' YF2017ch6 ',' ARamirez28 '); </v>
      </c>
      <c r="G7" s="35" t="s">
        <v>863</v>
      </c>
      <c r="H7" s="35" t="s">
        <v>1044</v>
      </c>
      <c r="I7" t="str">
        <f t="shared" si="1"/>
        <v xml:space="preserve">INSERT INTO femicidio_victima(idFemicidio,idVictima) VALUES (' YF2017ch6 ',' YFigueroa20 '); </v>
      </c>
    </row>
    <row r="8" spans="1:9" ht="30.75" thickBot="1">
      <c r="A8" s="35" t="s">
        <v>864</v>
      </c>
      <c r="B8" s="39" t="s">
        <v>970</v>
      </c>
      <c r="C8" t="str">
        <f t="shared" si="0"/>
        <v xml:space="preserve">INSERT INTO femicidio_agresor(idFemicidio,idAgresor) VALUES (' AR2017ch7 ',' JUrra53 '); </v>
      </c>
      <c r="G8" s="35" t="s">
        <v>864</v>
      </c>
      <c r="H8" s="35" t="s">
        <v>1045</v>
      </c>
      <c r="I8" t="str">
        <f t="shared" si="1"/>
        <v xml:space="preserve">INSERT INTO femicidio_victima(idFemicidio,idVictima) VALUES (' AR2017ch7 ',' ARiquelme34 '); </v>
      </c>
    </row>
    <row r="9" spans="1:9" ht="30.75" thickBot="1">
      <c r="A9" s="35" t="s">
        <v>865</v>
      </c>
      <c r="B9" s="39" t="s">
        <v>971</v>
      </c>
      <c r="C9" t="str">
        <f t="shared" si="0"/>
        <v xml:space="preserve">INSERT INTO femicidio_agresor(idFemicidio,idAgresor) VALUES (' GR2017ch8 ',' SContreras28 '); </v>
      </c>
      <c r="G9" s="35" t="s">
        <v>865</v>
      </c>
      <c r="H9" s="35" t="s">
        <v>1046</v>
      </c>
      <c r="I9" t="str">
        <f t="shared" si="1"/>
        <v xml:space="preserve">INSERT INTO femicidio_victima(idFemicidio,idVictima) VALUES (' GR2017ch8 ',' GRioseco24 '); </v>
      </c>
    </row>
    <row r="10" spans="1:9" ht="15.75" thickBot="1">
      <c r="A10" s="35" t="s">
        <v>866</v>
      </c>
      <c r="B10" s="39" t="s">
        <v>972</v>
      </c>
      <c r="C10" t="str">
        <f t="shared" si="0"/>
        <v xml:space="preserve">INSERT INTO femicidio_agresor(idFemicidio,idAgresor) VALUES (' AL2017ch9 ',' RMallea39 '); </v>
      </c>
      <c r="G10" s="35" t="s">
        <v>866</v>
      </c>
      <c r="H10" s="35" t="s">
        <v>1047</v>
      </c>
      <c r="I10" t="str">
        <f t="shared" si="1"/>
        <v xml:space="preserve">INSERT INTO femicidio_victima(idFemicidio,idVictima) VALUES (' AL2017ch9 ',' ALagos32 '); </v>
      </c>
    </row>
    <row r="11" spans="1:9" ht="15.75" thickBot="1">
      <c r="A11" s="35" t="s">
        <v>867</v>
      </c>
      <c r="B11" s="39" t="s">
        <v>973</v>
      </c>
      <c r="C11" t="str">
        <f t="shared" si="0"/>
        <v xml:space="preserve">INSERT INTO femicidio_agresor(idFemicidio,idAgresor) VALUES (' RE2017ch10 ',' JParedes43 '); </v>
      </c>
      <c r="G11" s="35" t="s">
        <v>867</v>
      </c>
      <c r="H11" s="35" t="s">
        <v>1048</v>
      </c>
      <c r="I11" t="str">
        <f t="shared" si="1"/>
        <v xml:space="preserve">INSERT INTO femicidio_victima(idFemicidio,idVictima) VALUES (' RE2017ch10 ',' RErices35 '); </v>
      </c>
    </row>
    <row r="12" spans="1:9" ht="30.75" thickBot="1">
      <c r="A12" s="35" t="s">
        <v>868</v>
      </c>
      <c r="B12" s="39" t="s">
        <v>974</v>
      </c>
      <c r="C12" t="str">
        <f t="shared" si="0"/>
        <v xml:space="preserve">INSERT INTO femicidio_agresor(idFemicidio,idAgresor) VALUES (' NB2017ch11 ',' BTapia55 '); </v>
      </c>
      <c r="G12" s="35" t="s">
        <v>868</v>
      </c>
      <c r="H12" s="35" t="s">
        <v>1049</v>
      </c>
      <c r="I12" t="str">
        <f t="shared" si="1"/>
        <v xml:space="preserve">INSERT INTO femicidio_victima(idFemicidio,idVictima) VALUES (' NB2017ch11 ',' NBeroíza48 '); </v>
      </c>
    </row>
    <row r="13" spans="1:9" ht="15.75" thickBot="1">
      <c r="A13" s="35" t="s">
        <v>869</v>
      </c>
      <c r="B13" s="39" t="s">
        <v>975</v>
      </c>
      <c r="C13" t="str">
        <f t="shared" si="0"/>
        <v xml:space="preserve">INSERT INTO femicidio_agresor(idFemicidio,idAgresor) VALUES (' RE2017ch12 ',' JRengifo60 '); </v>
      </c>
      <c r="G13" s="35" t="s">
        <v>869</v>
      </c>
      <c r="H13" s="35" t="s">
        <v>1050</v>
      </c>
      <c r="I13" t="str">
        <f t="shared" si="1"/>
        <v xml:space="preserve">INSERT INTO femicidio_victima(idFemicidio,idVictima) VALUES (' RE2017ch12 ',' REinfalt58 '); </v>
      </c>
    </row>
    <row r="14" spans="1:9" ht="15.75" thickBot="1">
      <c r="A14" s="35" t="s">
        <v>870</v>
      </c>
      <c r="B14" s="39" t="s">
        <v>976</v>
      </c>
      <c r="C14" t="str">
        <f t="shared" si="0"/>
        <v xml:space="preserve">INSERT INTO femicidio_agresor(idFemicidio,idAgresor) VALUES (' LC2017ch13 ',' JRojas32 '); </v>
      </c>
      <c r="G14" s="35" t="s">
        <v>870</v>
      </c>
      <c r="H14" s="35" t="s">
        <v>1051</v>
      </c>
      <c r="I14" t="str">
        <f t="shared" si="1"/>
        <v xml:space="preserve">INSERT INTO femicidio_victima(idFemicidio,idVictima) VALUES (' LC2017ch13 ',' LCarrasco30 '); </v>
      </c>
    </row>
    <row r="15" spans="1:9" ht="30.75" thickBot="1">
      <c r="A15" s="35" t="s">
        <v>871</v>
      </c>
      <c r="B15" s="39" t="s">
        <v>977</v>
      </c>
      <c r="C15" t="str">
        <f t="shared" si="0"/>
        <v xml:space="preserve">INSERT INTO femicidio_agresor(idFemicidio,idAgresor) VALUES (' PV2017ch14 ',' MVillanueva33 '); </v>
      </c>
      <c r="G15" s="35" t="s">
        <v>871</v>
      </c>
      <c r="H15" s="35" t="s">
        <v>1052</v>
      </c>
      <c r="I15" t="str">
        <f t="shared" si="1"/>
        <v xml:space="preserve">INSERT INTO femicidio_victima(idFemicidio,idVictima) VALUES (' PV2017ch14 ',' PVillalobos43 '); </v>
      </c>
    </row>
    <row r="16" spans="1:9" ht="15.75" thickBot="1">
      <c r="A16" s="35" t="s">
        <v>872</v>
      </c>
      <c r="B16" s="39" t="s">
        <v>978</v>
      </c>
      <c r="C16" t="str">
        <f t="shared" si="0"/>
        <v xml:space="preserve">INSERT INTO femicidio_agresor(idFemicidio,idAgresor) VALUES (' CL2017ch15 ',' AVidal29 '); </v>
      </c>
      <c r="G16" s="35" t="s">
        <v>872</v>
      </c>
      <c r="H16" s="35" t="s">
        <v>1053</v>
      </c>
      <c r="I16" t="str">
        <f t="shared" si="1"/>
        <v xml:space="preserve">INSERT INTO femicidio_victima(idFemicidio,idVictima) VALUES (' CL2017ch15 ',' CLecarios21 '); </v>
      </c>
    </row>
    <row r="17" spans="1:9" ht="30.75" thickBot="1">
      <c r="A17" s="35" t="s">
        <v>873</v>
      </c>
      <c r="B17" s="39" t="s">
        <v>979</v>
      </c>
      <c r="C17" t="str">
        <f t="shared" si="0"/>
        <v xml:space="preserve">INSERT INTO femicidio_agresor(idFemicidio,idAgresor) VALUES (' GG2017ch16 ',' MVergara43 '); </v>
      </c>
      <c r="G17" s="35" t="s">
        <v>873</v>
      </c>
      <c r="H17" s="35" t="s">
        <v>1054</v>
      </c>
      <c r="I17" t="str">
        <f t="shared" si="1"/>
        <v xml:space="preserve">INSERT INTO femicidio_victima(idFemicidio,idVictima) VALUES (' GG2017ch16 ',' GGonzález39 '); </v>
      </c>
    </row>
    <row r="18" spans="1:9" ht="30.75" thickBot="1">
      <c r="A18" s="35" t="s">
        <v>874</v>
      </c>
      <c r="B18" s="39" t="s">
        <v>980</v>
      </c>
      <c r="C18" t="str">
        <f t="shared" si="0"/>
        <v xml:space="preserve">INSERT INTO femicidio_agresor(idFemicidio,idAgresor) VALUES (' MD2017ch17 ',' OCastro67 '); </v>
      </c>
      <c r="G18" s="35" t="s">
        <v>874</v>
      </c>
      <c r="H18" s="35" t="s">
        <v>1055</v>
      </c>
      <c r="I18" t="str">
        <f t="shared" si="1"/>
        <v xml:space="preserve">INSERT INTO femicidio_victima(idFemicidio,idVictima) VALUES (' MD2017ch17 ',' MDroguett63 '); </v>
      </c>
    </row>
    <row r="19" spans="1:9" ht="30.75" thickBot="1">
      <c r="A19" s="35" t="s">
        <v>875</v>
      </c>
      <c r="B19" s="39" t="s">
        <v>981</v>
      </c>
      <c r="C19" t="str">
        <f t="shared" si="0"/>
        <v xml:space="preserve">INSERT INTO femicidio_agresor(idFemicidio,idAgresor) VALUES (' DM2017ch18 ',' CFernández34 '); </v>
      </c>
      <c r="G19" s="35" t="s">
        <v>875</v>
      </c>
      <c r="H19" s="35" t="s">
        <v>1056</v>
      </c>
      <c r="I19" t="str">
        <f t="shared" si="1"/>
        <v xml:space="preserve">INSERT INTO femicidio_victima(idFemicidio,idVictima) VALUES (' DM2017ch18 ',' DMillahual25 '); </v>
      </c>
    </row>
    <row r="20" spans="1:9" ht="15.75" thickBot="1">
      <c r="A20" s="35" t="s">
        <v>876</v>
      </c>
      <c r="B20" s="39" t="s">
        <v>982</v>
      </c>
      <c r="C20" t="str">
        <f t="shared" si="0"/>
        <v xml:space="preserve">INSERT INTO femicidio_agresor(idFemicidio,idAgresor) VALUES (' AC2017ch19 ',' CVillalba64 '); </v>
      </c>
      <c r="G20" s="35" t="s">
        <v>876</v>
      </c>
      <c r="H20" s="35" t="s">
        <v>1057</v>
      </c>
      <c r="I20" t="str">
        <f t="shared" si="1"/>
        <v xml:space="preserve">INSERT INTO femicidio_victima(idFemicidio,idVictima) VALUES (' AC2017ch19 ',' ACepeda60 '); </v>
      </c>
    </row>
    <row r="21" spans="1:9" ht="30.75" thickBot="1">
      <c r="A21" s="35" t="s">
        <v>877</v>
      </c>
      <c r="B21" s="39" t="s">
        <v>983</v>
      </c>
      <c r="C21" t="str">
        <f t="shared" si="0"/>
        <v xml:space="preserve">INSERT INTO femicidio_agresor(idFemicidio,idAgresor) VALUES (' MP2017ch20 ',' NND32 '); </v>
      </c>
      <c r="G21" s="35" t="s">
        <v>877</v>
      </c>
      <c r="H21" s="35" t="s">
        <v>1058</v>
      </c>
      <c r="I21" t="str">
        <f t="shared" si="1"/>
        <v xml:space="preserve">INSERT INTO femicidio_victima(idFemicidio,idVictima) VALUES (' MP2017ch20 ',' MPonce20 '); </v>
      </c>
    </row>
    <row r="22" spans="1:9" ht="30.75" thickBot="1">
      <c r="A22" s="35" t="s">
        <v>878</v>
      </c>
      <c r="B22" s="39" t="s">
        <v>984</v>
      </c>
      <c r="C22" t="str">
        <f t="shared" si="0"/>
        <v xml:space="preserve">INSERT INTO femicidio_agresor(idFemicidio,idAgresor) VALUES (' KM2017ch21 ',' JMuñoz33 '); </v>
      </c>
      <c r="G22" s="35" t="s">
        <v>878</v>
      </c>
      <c r="H22" s="35" t="s">
        <v>1059</v>
      </c>
      <c r="I22" t="str">
        <f t="shared" si="1"/>
        <v xml:space="preserve">INSERT INTO femicidio_victima(idFemicidio,idVictima) VALUES (' KM2017ch21 ',' KMichea32 '); </v>
      </c>
    </row>
    <row r="23" spans="1:9" ht="30.75" thickBot="1">
      <c r="A23" s="35" t="s">
        <v>879</v>
      </c>
      <c r="B23" s="39" t="s">
        <v>985</v>
      </c>
      <c r="C23" t="str">
        <f t="shared" si="0"/>
        <v xml:space="preserve">INSERT INTO femicidio_agresor(idFemicidio,idAgresor) VALUES (' JP2017ch22 ',' MDomigual66 '); </v>
      </c>
      <c r="G23" s="35" t="s">
        <v>879</v>
      </c>
      <c r="H23" s="35" t="s">
        <v>1060</v>
      </c>
      <c r="I23" t="str">
        <f t="shared" si="1"/>
        <v xml:space="preserve">INSERT INTO femicidio_victima(idFemicidio,idVictima) VALUES (' JP2017ch22 ',' JPallilef68 '); </v>
      </c>
    </row>
    <row r="24" spans="1:9" ht="30.75" thickBot="1">
      <c r="A24" s="35" t="s">
        <v>880</v>
      </c>
      <c r="B24" s="39" t="s">
        <v>986</v>
      </c>
      <c r="C24" t="str">
        <f t="shared" si="0"/>
        <v xml:space="preserve">INSERT INTO femicidio_agresor(idFemicidio,idAgresor) VALUES (' MS2017ch23 ',' JNuracami56 '); </v>
      </c>
      <c r="G24" s="35" t="s">
        <v>880</v>
      </c>
      <c r="H24" s="35" t="s">
        <v>1061</v>
      </c>
      <c r="I24" t="str">
        <f t="shared" si="1"/>
        <v xml:space="preserve">INSERT INTO femicidio_victima(idFemicidio,idVictima) VALUES (' MS2017ch23 ',' MSánchez40 '); </v>
      </c>
    </row>
    <row r="25" spans="1:9" ht="15.75" thickBot="1">
      <c r="A25" s="35" t="s">
        <v>881</v>
      </c>
      <c r="B25" s="39" t="s">
        <v>987</v>
      </c>
      <c r="C25" t="str">
        <f t="shared" si="0"/>
        <v xml:space="preserve">INSERT INTO femicidio_agresor(idFemicidio,idAgresor) VALUES (' RB2017ch24 ',' LTorres0 '); </v>
      </c>
      <c r="G25" s="35" t="s">
        <v>881</v>
      </c>
      <c r="H25" s="35" t="s">
        <v>1062</v>
      </c>
      <c r="I25" t="str">
        <f t="shared" si="1"/>
        <v xml:space="preserve">INSERT INTO femicidio_victima(idFemicidio,idVictima) VALUES (' RB2017ch24 ',' RBravo36 '); </v>
      </c>
    </row>
    <row r="26" spans="1:9" ht="15.75" thickBot="1">
      <c r="A26" s="35" t="s">
        <v>882</v>
      </c>
      <c r="B26" s="39" t="s">
        <v>988</v>
      </c>
      <c r="C26" t="str">
        <f t="shared" si="0"/>
        <v xml:space="preserve">INSERT INTO femicidio_agresor(idFemicidio,idAgresor) VALUES (' PV2017ch25 ',' GLoza26 '); </v>
      </c>
      <c r="G26" s="35" t="s">
        <v>882</v>
      </c>
      <c r="H26" s="35" t="s">
        <v>1063</v>
      </c>
      <c r="I26" t="str">
        <f t="shared" si="1"/>
        <v xml:space="preserve">INSERT INTO femicidio_victima(idFemicidio,idVictima) VALUES (' PV2017ch25 ',' PVarela30 '); </v>
      </c>
    </row>
    <row r="27" spans="1:9" ht="15.75" thickBot="1">
      <c r="A27" s="35" t="s">
        <v>883</v>
      </c>
      <c r="B27" s="39" t="s">
        <v>989</v>
      </c>
      <c r="C27" t="str">
        <f t="shared" si="0"/>
        <v xml:space="preserve">INSERT INTO femicidio_agresor(idFemicidio,idAgresor) VALUES (' FR2017ch26 ',' STorres52 '); </v>
      </c>
      <c r="G27" s="35" t="s">
        <v>883</v>
      </c>
      <c r="H27" s="35" t="s">
        <v>1064</v>
      </c>
      <c r="I27" t="str">
        <f t="shared" si="1"/>
        <v xml:space="preserve">INSERT INTO femicidio_victima(idFemicidio,idVictima) VALUES (' FR2017ch26 ',' FRobledo43 '); </v>
      </c>
    </row>
    <row r="28" spans="1:9" ht="15.75" thickBot="1">
      <c r="A28" s="35" t="s">
        <v>884</v>
      </c>
      <c r="B28" s="39" t="s">
        <v>990</v>
      </c>
      <c r="C28" t="str">
        <f t="shared" si="0"/>
        <v xml:space="preserve">INSERT INTO femicidio_agresor(idFemicidio,idAgresor) VALUES (' YB2017ch27 ',' MLillo19 '); </v>
      </c>
      <c r="G28" s="35" t="s">
        <v>884</v>
      </c>
      <c r="H28" s="35" t="s">
        <v>1065</v>
      </c>
      <c r="I28" t="str">
        <f t="shared" si="1"/>
        <v xml:space="preserve">INSERT INTO femicidio_victima(idFemicidio,idVictima) VALUES (' YB2017ch27 ',' YBravo32 '); </v>
      </c>
    </row>
    <row r="29" spans="1:9" ht="15.75" thickBot="1">
      <c r="A29" s="35" t="s">
        <v>885</v>
      </c>
      <c r="B29" s="39" t="s">
        <v>991</v>
      </c>
      <c r="C29" t="str">
        <f t="shared" si="0"/>
        <v xml:space="preserve">INSERT INTO femicidio_agresor(idFemicidio,idAgresor) VALUES (' JS2017ch28 ',' RPacheco43 '); </v>
      </c>
      <c r="G29" s="35" t="s">
        <v>885</v>
      </c>
      <c r="H29" s="35" t="s">
        <v>1066</v>
      </c>
      <c r="I29" t="str">
        <f t="shared" si="1"/>
        <v xml:space="preserve">INSERT INTO femicidio_victima(idFemicidio,idVictima) VALUES (' JS2017ch28 ',' JSoto43 '); </v>
      </c>
    </row>
    <row r="30" spans="1:9" ht="30.75" thickBot="1">
      <c r="A30" s="35" t="s">
        <v>886</v>
      </c>
      <c r="B30" s="39" t="s">
        <v>992</v>
      </c>
      <c r="C30" t="str">
        <f t="shared" si="0"/>
        <v xml:space="preserve">INSERT INTO femicidio_agresor(idFemicidio,idAgresor) VALUES (' GO2017ch29 ',' YSerón27 '); </v>
      </c>
      <c r="G30" s="35" t="s">
        <v>886</v>
      </c>
      <c r="H30" s="35" t="s">
        <v>1067</v>
      </c>
      <c r="I30" t="str">
        <f t="shared" si="1"/>
        <v xml:space="preserve">INSERT INTO femicidio_victima(idFemicidio,idVictima) VALUES (' GO2017ch29 ',' GOlivares22 '); </v>
      </c>
    </row>
    <row r="31" spans="1:9" ht="30.75" thickBot="1">
      <c r="A31" s="35" t="s">
        <v>887</v>
      </c>
      <c r="B31" s="39" t="s">
        <v>993</v>
      </c>
      <c r="C31" t="str">
        <f t="shared" si="0"/>
        <v xml:space="preserve">INSERT INTO femicidio_agresor(idFemicidio,idAgresor) VALUES (' IG2017ch30 ',' GAtenas33 '); </v>
      </c>
      <c r="G31" s="35" t="s">
        <v>887</v>
      </c>
      <c r="H31" s="35" t="s">
        <v>1068</v>
      </c>
      <c r="I31" t="str">
        <f t="shared" si="1"/>
        <v xml:space="preserve">INSERT INTO femicidio_victima(idFemicidio,idVictima) VALUES (' IG2017ch30 ',' IGonzález22 '); </v>
      </c>
    </row>
    <row r="32" spans="1:9" ht="30.75" thickBot="1">
      <c r="A32" s="35" t="s">
        <v>888</v>
      </c>
      <c r="B32" s="39" t="s">
        <v>994</v>
      </c>
      <c r="C32" t="str">
        <f t="shared" si="0"/>
        <v xml:space="preserve">INSERT INTO femicidio_agresor(idFemicidio,idAgresor) VALUES (' AA2017ch31 ',' ALarrondo31 '); </v>
      </c>
      <c r="G32" s="35" t="s">
        <v>888</v>
      </c>
      <c r="H32" s="35" t="s">
        <v>1069</v>
      </c>
      <c r="I32" t="str">
        <f t="shared" si="1"/>
        <v xml:space="preserve">INSERT INTO femicidio_victima(idFemicidio,idVictima) VALUES (' AA2017ch31 ',' AAcosta27 '); </v>
      </c>
    </row>
    <row r="33" spans="1:9" ht="30.75" thickBot="1">
      <c r="A33" s="35" t="s">
        <v>889</v>
      </c>
      <c r="B33" s="39" t="s">
        <v>995</v>
      </c>
      <c r="C33" t="str">
        <f t="shared" si="0"/>
        <v xml:space="preserve">INSERT INTO femicidio_agresor(idFemicidio,idAgresor) VALUES (' MH2017ch32 ',' JIlabaca26 '); </v>
      </c>
      <c r="G33" s="35" t="s">
        <v>889</v>
      </c>
      <c r="H33" s="35" t="s">
        <v>1070</v>
      </c>
      <c r="I33" t="str">
        <f t="shared" si="1"/>
        <v xml:space="preserve">INSERT INTO femicidio_victima(idFemicidio,idVictima) VALUES (' MH2017ch32 ',' MHuertas36 '); </v>
      </c>
    </row>
    <row r="34" spans="1:9" ht="15.75" thickBot="1">
      <c r="A34" s="35" t="s">
        <v>890</v>
      </c>
      <c r="B34" s="39" t="s">
        <v>996</v>
      </c>
      <c r="C34" t="str">
        <f t="shared" si="0"/>
        <v xml:space="preserve">INSERT INTO femicidio_agresor(idFemicidio,idAgresor) VALUES (' CA2017ch33 ',' JVergara53 '); </v>
      </c>
      <c r="G34" s="35" t="s">
        <v>890</v>
      </c>
      <c r="H34" s="35" t="s">
        <v>1071</v>
      </c>
      <c r="I34" t="str">
        <f t="shared" si="1"/>
        <v xml:space="preserve">INSERT INTO femicidio_victima(idFemicidio,idVictima) VALUES (' CA2017ch33 ',' CAriztía42 '); </v>
      </c>
    </row>
    <row r="35" spans="1:9" ht="30.75" thickBot="1">
      <c r="A35" s="35" t="s">
        <v>891</v>
      </c>
      <c r="B35" s="39" t="s">
        <v>997</v>
      </c>
      <c r="C35" t="str">
        <f t="shared" si="0"/>
        <v xml:space="preserve">INSERT INTO femicidio_agresor(idFemicidio,idAgresor) VALUES (' DM2017ch34 ',' PJalife55 '); </v>
      </c>
      <c r="G35" s="35" t="s">
        <v>891</v>
      </c>
      <c r="H35" s="35" t="s">
        <v>1072</v>
      </c>
      <c r="I35" t="str">
        <f t="shared" si="1"/>
        <v xml:space="preserve">INSERT INTO femicidio_victima(idFemicidio,idVictima) VALUES (' DM2017ch34 ',' DMardones29 '); </v>
      </c>
    </row>
    <row r="36" spans="1:9" ht="30.75" thickBot="1">
      <c r="A36" s="35" t="s">
        <v>892</v>
      </c>
      <c r="B36" s="39" t="s">
        <v>998</v>
      </c>
      <c r="C36" t="str">
        <f t="shared" si="0"/>
        <v xml:space="preserve">INSERT INTO femicidio_agresor(idFemicidio,idAgresor) VALUES (' MM2017ch35 ',' CSilva22 '); </v>
      </c>
      <c r="G36" s="35" t="s">
        <v>892</v>
      </c>
      <c r="H36" s="35" t="s">
        <v>1073</v>
      </c>
      <c r="I36" t="str">
        <f t="shared" si="1"/>
        <v xml:space="preserve">INSERT INTO femicidio_victima(idFemicidio,idVictima) VALUES (' MM2017ch35 ',' MMazuelos18 '); </v>
      </c>
    </row>
    <row r="37" spans="1:9" ht="15.75" thickBot="1">
      <c r="A37" s="35" t="s">
        <v>893</v>
      </c>
      <c r="B37" s="39" t="s">
        <v>999</v>
      </c>
      <c r="C37" t="str">
        <f t="shared" si="0"/>
        <v xml:space="preserve">INSERT INTO femicidio_agresor(idFemicidio,idAgresor) VALUES (' VZ2017ch36 ',' NND0 '); </v>
      </c>
      <c r="G37" s="35" t="s">
        <v>893</v>
      </c>
      <c r="H37" s="40" t="s">
        <v>1074</v>
      </c>
      <c r="I37" t="str">
        <f t="shared" si="1"/>
        <v xml:space="preserve">INSERT INTO femicidio_victima(idFemicidio,idVictima) VALUES (' VZ2017ch36 ',' ValparaisoZuñiga28 '); </v>
      </c>
    </row>
    <row r="38" spans="1:9" ht="15.75" thickBot="1">
      <c r="A38" s="35" t="s">
        <v>894</v>
      </c>
      <c r="B38" s="39" t="s">
        <v>1000</v>
      </c>
      <c r="C38" t="str">
        <f t="shared" si="0"/>
        <v xml:space="preserve">INSERT INTO femicidio_agresor(idFemicidio,idAgresor) VALUES (' CV2017ch37 ',' NND39 '); </v>
      </c>
      <c r="G38" s="35" t="s">
        <v>894</v>
      </c>
      <c r="H38" s="35" t="s">
        <v>1075</v>
      </c>
      <c r="I38" t="str">
        <f t="shared" si="1"/>
        <v xml:space="preserve">INSERT INTO femicidio_victima(idFemicidio,idVictima) VALUES (' CV2017ch37 ',' CVéliz36 '); </v>
      </c>
    </row>
    <row r="39" spans="1:9" ht="15.75" thickBot="1">
      <c r="A39" s="35" t="s">
        <v>895</v>
      </c>
      <c r="B39" s="39" t="s">
        <v>1001</v>
      </c>
      <c r="C39" t="str">
        <f t="shared" si="0"/>
        <v xml:space="preserve">INSERT INTO femicidio_agresor(idFemicidio,idAgresor) VALUES (' Sd2017ch38 ',' CValera31 '); </v>
      </c>
      <c r="G39" s="35" t="s">
        <v>895</v>
      </c>
      <c r="H39" s="40" t="s">
        <v>1076</v>
      </c>
      <c r="I39" t="str">
        <f t="shared" si="1"/>
        <v xml:space="preserve">INSERT INTO femicidio_victima(idFemicidio,idVictima) VALUES (' Sd2017ch38 ',' SChinquinquira26 '); </v>
      </c>
    </row>
    <row r="40" spans="1:9" ht="15.75" thickBot="1">
      <c r="A40" s="35" t="s">
        <v>896</v>
      </c>
      <c r="B40" s="39" t="s">
        <v>1002</v>
      </c>
      <c r="C40" t="str">
        <f t="shared" si="0"/>
        <v xml:space="preserve">INSERT INTO femicidio_agresor(idFemicidio,idAgresor) VALUES (' KU2017ch39 ',' EPineda35 '); </v>
      </c>
      <c r="G40" s="35" t="s">
        <v>896</v>
      </c>
      <c r="H40" s="35" t="s">
        <v>1077</v>
      </c>
      <c r="I40" t="str">
        <f t="shared" si="1"/>
        <v xml:space="preserve">INSERT INTO femicidio_victima(idFemicidio,idVictima) VALUES (' KU2017ch39 ',' KUribe31 '); </v>
      </c>
    </row>
    <row r="41" spans="1:9" ht="15.75" thickBot="1">
      <c r="A41" s="35" t="s">
        <v>897</v>
      </c>
      <c r="B41" s="39" t="s">
        <v>1003</v>
      </c>
      <c r="C41" t="str">
        <f t="shared" si="0"/>
        <v xml:space="preserve">INSERT INTO femicidio_agresor(idFemicidio,idAgresor) VALUES (' LR2017ch40 ',' LSilva36 '); </v>
      </c>
      <c r="G41" s="35" t="s">
        <v>897</v>
      </c>
      <c r="H41" s="35" t="s">
        <v>1078</v>
      </c>
      <c r="I41" t="str">
        <f t="shared" si="1"/>
        <v xml:space="preserve">INSERT INTO femicidio_victima(idFemicidio,idVictima) VALUES (' LR2017ch40 ',' LRamos26 '); </v>
      </c>
    </row>
    <row r="42" spans="1:9" ht="30.75" thickBot="1">
      <c r="A42" s="35" t="s">
        <v>898</v>
      </c>
      <c r="B42" s="39" t="s">
        <v>1004</v>
      </c>
      <c r="C42" t="str">
        <f t="shared" si="0"/>
        <v xml:space="preserve">INSERT INTO femicidio_agresor(idFemicidio,idAgresor) VALUES (' YJ2017ch41 ',' IAcuña40 '); </v>
      </c>
      <c r="G42" s="35" t="s">
        <v>898</v>
      </c>
      <c r="H42" s="35" t="s">
        <v>1079</v>
      </c>
      <c r="I42" t="str">
        <f t="shared" si="1"/>
        <v xml:space="preserve">INSERT INTO femicidio_victima(idFemicidio,idVictima) VALUES (' YJ2017ch41 ',' YJaramillo37 '); </v>
      </c>
    </row>
    <row r="43" spans="1:9" ht="30.75" thickBot="1">
      <c r="A43" s="35" t="s">
        <v>899</v>
      </c>
      <c r="B43" s="39" t="s">
        <v>999</v>
      </c>
      <c r="C43" t="str">
        <f t="shared" si="0"/>
        <v xml:space="preserve">INSERT INTO femicidio_agresor(idFemicidio,idAgresor) VALUES (' CG2016ch1 ',' NND0 '); </v>
      </c>
      <c r="G43" s="35" t="s">
        <v>899</v>
      </c>
      <c r="H43" s="35" t="s">
        <v>1080</v>
      </c>
      <c r="I43" t="str">
        <f t="shared" si="1"/>
        <v xml:space="preserve">INSERT INTO femicidio_victima(idFemicidio,idVictima) VALUES (' CG2016ch1 ',' CGonzález37 '); </v>
      </c>
    </row>
    <row r="44" spans="1:9" ht="15.75" thickBot="1">
      <c r="A44" s="35" t="s">
        <v>900</v>
      </c>
      <c r="B44" s="39" t="s">
        <v>1005</v>
      </c>
      <c r="C44" t="str">
        <f t="shared" si="0"/>
        <v xml:space="preserve">INSERT INTO femicidio_agresor(idFemicidio,idAgresor) VALUES (' MC2016ch2 ',' LRosales64 '); </v>
      </c>
      <c r="G44" s="35" t="s">
        <v>900</v>
      </c>
      <c r="H44" s="35" t="s">
        <v>1081</v>
      </c>
      <c r="I44" t="str">
        <f t="shared" si="1"/>
        <v xml:space="preserve">INSERT INTO femicidio_victima(idFemicidio,idVictima) VALUES (' MC2016ch2 ',' MCarrillo43 '); </v>
      </c>
    </row>
    <row r="45" spans="1:9" ht="15.75" thickBot="1">
      <c r="A45" s="35" t="s">
        <v>901</v>
      </c>
      <c r="B45" s="39" t="s">
        <v>1006</v>
      </c>
      <c r="C45" t="str">
        <f t="shared" si="0"/>
        <v xml:space="preserve">INSERT INTO femicidio_agresor(idFemicidio,idAgresor) VALUES (' EE2016ch3 ',' LReyes51 '); </v>
      </c>
      <c r="G45" s="35" t="s">
        <v>901</v>
      </c>
      <c r="H45" s="35" t="s">
        <v>1082</v>
      </c>
      <c r="I45" t="str">
        <f t="shared" si="1"/>
        <v xml:space="preserve">INSERT INTO femicidio_victima(idFemicidio,idVictima) VALUES (' EE2016ch3 ',' EEscárate90 '); </v>
      </c>
    </row>
    <row r="46" spans="1:9" ht="30.75" thickBot="1">
      <c r="A46" s="35" t="s">
        <v>902</v>
      </c>
      <c r="B46" s="39" t="s">
        <v>1007</v>
      </c>
      <c r="C46" t="str">
        <f t="shared" si="0"/>
        <v xml:space="preserve">INSERT INTO femicidio_agresor(idFemicidio,idAgresor) VALUES (' CB2016ch4 ',' RCarvajal55 '); </v>
      </c>
      <c r="G46" s="35" t="s">
        <v>902</v>
      </c>
      <c r="H46" s="35" t="s">
        <v>1083</v>
      </c>
      <c r="I46" t="str">
        <f t="shared" si="1"/>
        <v xml:space="preserve">INSERT INTO femicidio_victima(idFemicidio,idVictima) VALUES (' CB2016ch4 ',' CBarrientos43 '); </v>
      </c>
    </row>
    <row r="47" spans="1:9" ht="15.75" thickBot="1">
      <c r="A47" s="35" t="s">
        <v>903</v>
      </c>
      <c r="B47" s="39" t="s">
        <v>999</v>
      </c>
      <c r="C47" t="str">
        <f t="shared" si="0"/>
        <v xml:space="preserve">INSERT INTO femicidio_agresor(idFemicidio,idAgresor) VALUES (' KW2016ch5 ',' NND0 '); </v>
      </c>
      <c r="G47" s="35" t="s">
        <v>903</v>
      </c>
      <c r="H47" s="35" t="s">
        <v>1084</v>
      </c>
      <c r="I47" t="str">
        <f t="shared" si="1"/>
        <v xml:space="preserve">INSERT INTO femicidio_victima(idFemicidio,idVictima) VALUES (' KW2016ch5 ',' KWilson31 '); </v>
      </c>
    </row>
    <row r="48" spans="1:9" ht="30.75" thickBot="1">
      <c r="A48" s="35" t="s">
        <v>904</v>
      </c>
      <c r="B48" s="39" t="s">
        <v>1008</v>
      </c>
      <c r="C48" t="str">
        <f t="shared" si="0"/>
        <v xml:space="preserve">INSERT INTO femicidio_agresor(idFemicidio,idAgresor) VALUES (' Y 2016ch6 ',' EVásquez25 '); </v>
      </c>
      <c r="G48" s="35" t="s">
        <v>904</v>
      </c>
      <c r="H48" s="35" t="s">
        <v>1085</v>
      </c>
      <c r="I48" t="str">
        <f t="shared" si="1"/>
        <v xml:space="preserve">INSERT INTO femicidio_victima(idFemicidio,idVictima) VALUES (' Y 2016ch6 ',' YAcevedo21 '); </v>
      </c>
    </row>
    <row r="49" spans="1:9" ht="30.75" thickBot="1">
      <c r="A49" s="35" t="s">
        <v>905</v>
      </c>
      <c r="B49" s="39" t="s">
        <v>1009</v>
      </c>
      <c r="C49" t="str">
        <f t="shared" si="0"/>
        <v xml:space="preserve">INSERT INTO femicidio_agresor(idFemicidio,idAgresor) VALUES (' SS2016ch7 ',' FMarchan61 '); </v>
      </c>
      <c r="G49" s="35" t="s">
        <v>905</v>
      </c>
      <c r="H49" s="35" t="s">
        <v>1086</v>
      </c>
      <c r="I49" t="str">
        <f t="shared" si="1"/>
        <v xml:space="preserve">INSERT INTO femicidio_victima(idFemicidio,idVictima) VALUES (' SS2016ch7 ',' SSepúlveda41 '); </v>
      </c>
    </row>
    <row r="50" spans="1:9" ht="15.75" thickBot="1">
      <c r="A50" s="35" t="s">
        <v>906</v>
      </c>
      <c r="B50" s="39" t="s">
        <v>1010</v>
      </c>
      <c r="C50" t="str">
        <f t="shared" si="0"/>
        <v xml:space="preserve">INSERT INTO femicidio_agresor(idFemicidio,idAgresor) VALUES (' MC2016ch8 ',' CDelgado69 '); </v>
      </c>
      <c r="G50" s="35" t="s">
        <v>906</v>
      </c>
      <c r="H50" s="35" t="s">
        <v>1087</v>
      </c>
      <c r="I50" t="str">
        <f t="shared" si="1"/>
        <v xml:space="preserve">INSERT INTO femicidio_victima(idFemicidio,idVictima) VALUES (' MC2016ch8 ',' MCarriel63 '); </v>
      </c>
    </row>
    <row r="51" spans="1:9" ht="15.75" thickBot="1">
      <c r="A51" s="35" t="s">
        <v>907</v>
      </c>
      <c r="B51" s="39" t="s">
        <v>1011</v>
      </c>
      <c r="C51" t="str">
        <f t="shared" si="0"/>
        <v xml:space="preserve">INSERT INTO femicidio_agresor(idFemicidio,idAgresor) VALUES (' AG2016ch9 ',' JCornejo47 '); </v>
      </c>
      <c r="G51" s="35" t="s">
        <v>907</v>
      </c>
      <c r="H51" s="35" t="s">
        <v>1088</v>
      </c>
      <c r="I51" t="str">
        <f t="shared" si="1"/>
        <v xml:space="preserve">INSERT INTO femicidio_victima(idFemicidio,idVictima) VALUES (' AG2016ch9 ',' AGarcía40 '); </v>
      </c>
    </row>
    <row r="52" spans="1:9" ht="30.75" thickBot="1">
      <c r="A52" s="35" t="s">
        <v>908</v>
      </c>
      <c r="B52" s="39" t="s">
        <v>1012</v>
      </c>
      <c r="C52" t="str">
        <f t="shared" si="0"/>
        <v xml:space="preserve">INSERT INTO femicidio_agresor(idFemicidio,idAgresor) VALUES (' NL2016ch10 ',' JArriagada49 '); </v>
      </c>
      <c r="G52" s="35" t="s">
        <v>908</v>
      </c>
      <c r="H52" s="35" t="s">
        <v>1089</v>
      </c>
      <c r="I52" t="str">
        <f t="shared" si="1"/>
        <v xml:space="preserve">INSERT INTO femicidio_victima(idFemicidio,idVictima) VALUES (' NL2016ch10 ',' NLeyton45 '); </v>
      </c>
    </row>
    <row r="53" spans="1:9" ht="30.75" thickBot="1">
      <c r="A53" s="35" t="s">
        <v>909</v>
      </c>
      <c r="B53" s="39" t="s">
        <v>1013</v>
      </c>
      <c r="C53" t="str">
        <f t="shared" si="0"/>
        <v xml:space="preserve">INSERT INTO femicidio_agresor(idFemicidio,idAgresor) VALUES (' NA2016ch13 ',' FGómez0 '); </v>
      </c>
      <c r="G53" s="35" t="s">
        <v>909</v>
      </c>
      <c r="H53" s="35" t="s">
        <v>1090</v>
      </c>
      <c r="I53" t="str">
        <f t="shared" si="1"/>
        <v xml:space="preserve">INSERT INTO femicidio_victima(idFemicidio,idVictima) VALUES (' NA2016ch13 ',' NArenas58 '); </v>
      </c>
    </row>
    <row r="54" spans="1:9" ht="15.75" thickBot="1">
      <c r="A54" s="35" t="s">
        <v>910</v>
      </c>
      <c r="B54" s="39" t="s">
        <v>1014</v>
      </c>
      <c r="C54" t="str">
        <f t="shared" si="0"/>
        <v xml:space="preserve">INSERT INTO femicidio_agresor(idFemicidio,idAgresor) VALUES (' YA2016ch14 ',' ÁIturra34 '); </v>
      </c>
      <c r="G54" s="35" t="s">
        <v>910</v>
      </c>
      <c r="H54" s="35" t="s">
        <v>1091</v>
      </c>
      <c r="I54" t="str">
        <f t="shared" si="1"/>
        <v xml:space="preserve">INSERT INTO femicidio_victima(idFemicidio,idVictima) VALUES (' YA2016ch14 ',' YAlvarez28 '); </v>
      </c>
    </row>
    <row r="55" spans="1:9" ht="30.75" thickBot="1">
      <c r="A55" s="35" t="s">
        <v>911</v>
      </c>
      <c r="B55" s="39" t="s">
        <v>1015</v>
      </c>
      <c r="C55" t="str">
        <f t="shared" si="0"/>
        <v xml:space="preserve">INSERT INTO femicidio_agresor(idFemicidio,idAgresor) VALUES (' AO2016ch18 ',' RAndrade58 '); </v>
      </c>
      <c r="G55" s="35" t="s">
        <v>911</v>
      </c>
      <c r="H55" s="35" t="s">
        <v>1092</v>
      </c>
      <c r="I55" t="str">
        <f t="shared" si="1"/>
        <v xml:space="preserve">INSERT INTO femicidio_victima(idFemicidio,idVictima) VALUES (' AO2016ch18 ',' AOjeda44 '); </v>
      </c>
    </row>
    <row r="56" spans="1:9" ht="15.75" thickBot="1">
      <c r="A56" s="35" t="s">
        <v>912</v>
      </c>
      <c r="B56" s="39" t="s">
        <v>1016</v>
      </c>
      <c r="C56" t="str">
        <f t="shared" si="0"/>
        <v xml:space="preserve">INSERT INTO femicidio_agresor(idFemicidio,idAgresor) VALUES (' BL2016ch19 ',' ODíaz51 '); </v>
      </c>
      <c r="G56" s="35" t="s">
        <v>912</v>
      </c>
      <c r="H56" s="35" t="s">
        <v>1093</v>
      </c>
      <c r="I56" t="str">
        <f t="shared" si="1"/>
        <v xml:space="preserve">INSERT INTO femicidio_victima(idFemicidio,idVictima) VALUES (' BL2016ch19 ',' BLópez54 '); </v>
      </c>
    </row>
    <row r="57" spans="1:9" ht="30.75" thickBot="1">
      <c r="A57" s="35" t="s">
        <v>913</v>
      </c>
      <c r="B57" s="39" t="s">
        <v>1017</v>
      </c>
      <c r="C57" t="str">
        <f t="shared" si="0"/>
        <v xml:space="preserve">INSERT INTO femicidio_agresor(idFemicidio,idAgresor) VALUES (' V 2016ch21 ',' LCarmona35 '); </v>
      </c>
      <c r="G57" s="35" t="s">
        <v>913</v>
      </c>
      <c r="H57" s="35" t="s">
        <v>1094</v>
      </c>
      <c r="I57" t="str">
        <f t="shared" si="1"/>
        <v xml:space="preserve">INSERT INTO femicidio_victima(idFemicidio,idVictima) VALUES (' V 2016ch21 ',' VManríquez45 '); </v>
      </c>
    </row>
    <row r="58" spans="1:9" ht="30.75" thickBot="1">
      <c r="A58" s="35" t="s">
        <v>914</v>
      </c>
      <c r="B58" s="40" t="s">
        <v>1018</v>
      </c>
      <c r="C58" t="str">
        <f t="shared" si="0"/>
        <v xml:space="preserve">INSERT INTO femicidio_agresor(idFemicidio,idAgresor) VALUES (' VG2016ch22 ',' CCampodonico20 '); </v>
      </c>
      <c r="G58" s="35" t="s">
        <v>914</v>
      </c>
      <c r="H58" s="35" t="s">
        <v>1095</v>
      </c>
      <c r="I58" t="str">
        <f t="shared" si="1"/>
        <v xml:space="preserve">INSERT INTO femicidio_victima(idFemicidio,idVictima) VALUES (' VG2016ch22 ',' VGamboa18 '); </v>
      </c>
    </row>
    <row r="59" spans="1:9" ht="30.75" thickBot="1">
      <c r="A59" s="35" t="s">
        <v>915</v>
      </c>
      <c r="B59" s="39" t="s">
        <v>999</v>
      </c>
      <c r="C59" t="str">
        <f t="shared" si="0"/>
        <v xml:space="preserve">INSERT INTO femicidio_agresor(idFemicidio,idAgresor) VALUES (' MG2016ch23 ',' NND0 '); </v>
      </c>
      <c r="G59" s="35" t="s">
        <v>915</v>
      </c>
      <c r="H59" s="35" t="s">
        <v>1096</v>
      </c>
      <c r="I59" t="str">
        <f t="shared" si="1"/>
        <v xml:space="preserve">INSERT INTO femicidio_victima(idFemicidio,idVictima) VALUES (' MG2016ch23 ',' MGarcía24 '); </v>
      </c>
    </row>
    <row r="60" spans="1:9" ht="30.75" thickBot="1">
      <c r="A60" s="35" t="s">
        <v>916</v>
      </c>
      <c r="B60" s="39" t="s">
        <v>999</v>
      </c>
      <c r="C60" t="str">
        <f t="shared" si="0"/>
        <v xml:space="preserve">INSERT INTO femicidio_agresor(idFemicidio,idAgresor) VALUES (' NS2016ch24 ',' NND0 '); </v>
      </c>
      <c r="G60" s="35" t="s">
        <v>916</v>
      </c>
      <c r="H60" s="35" t="s">
        <v>1097</v>
      </c>
      <c r="I60" t="str">
        <f t="shared" si="1"/>
        <v xml:space="preserve">INSERT INTO femicidio_victima(idFemicidio,idVictima) VALUES (' NS2016ch24 ',' NSaavedra23 '); </v>
      </c>
    </row>
    <row r="61" spans="1:9" ht="15.75" thickBot="1">
      <c r="A61" s="35" t="s">
        <v>917</v>
      </c>
      <c r="B61" s="39" t="s">
        <v>1019</v>
      </c>
      <c r="C61" t="str">
        <f t="shared" si="0"/>
        <v xml:space="preserve">INSERT INTO femicidio_agresor(idFemicidio,idAgresor) VALUES (' BT2016ch25 ',' EMartel34 '); </v>
      </c>
      <c r="G61" s="35" t="s">
        <v>917</v>
      </c>
      <c r="H61" s="35" t="s">
        <v>1098</v>
      </c>
      <c r="I61" t="str">
        <f t="shared" si="1"/>
        <v xml:space="preserve">INSERT INTO femicidio_victima(idFemicidio,idVictima) VALUES (' BT2016ch25 ',' BTorres24 '); </v>
      </c>
    </row>
    <row r="62" spans="1:9" ht="15.75" thickBot="1">
      <c r="A62" s="35" t="s">
        <v>918</v>
      </c>
      <c r="B62" s="39" t="s">
        <v>1020</v>
      </c>
      <c r="C62" t="str">
        <f t="shared" si="0"/>
        <v xml:space="preserve">INSERT INTO femicidio_agresor(idFemicidio,idAgresor) VALUES (' GF2016ch26 ',' PGarrido27 '); </v>
      </c>
      <c r="G62" s="35" t="s">
        <v>918</v>
      </c>
      <c r="H62" s="35" t="s">
        <v>1099</v>
      </c>
      <c r="I62" t="str">
        <f t="shared" si="1"/>
        <v xml:space="preserve">INSERT INTO femicidio_victima(idFemicidio,idVictima) VALUES (' GF2016ch26 ',' GFerraro30 '); </v>
      </c>
    </row>
    <row r="63" spans="1:9" ht="30.75" thickBot="1">
      <c r="A63" s="35" t="s">
        <v>919</v>
      </c>
      <c r="B63" s="39" t="s">
        <v>1021</v>
      </c>
      <c r="C63" t="str">
        <f t="shared" si="0"/>
        <v xml:space="preserve">INSERT INTO femicidio_agresor(idFemicidio,idAgresor) VALUES (' NP2016ch27 ',' LOrellana71 '); </v>
      </c>
      <c r="G63" s="35" t="s">
        <v>919</v>
      </c>
      <c r="H63" s="35" t="s">
        <v>1100</v>
      </c>
      <c r="I63" t="str">
        <f t="shared" si="1"/>
        <v xml:space="preserve">INSERT INTO femicidio_victima(idFemicidio,idVictima) VALUES (' NP2016ch27 ',' NPardo30 '); </v>
      </c>
    </row>
    <row r="64" spans="1:9" ht="15.75" thickBot="1">
      <c r="A64" s="35" t="s">
        <v>920</v>
      </c>
      <c r="B64" s="39" t="s">
        <v>1022</v>
      </c>
      <c r="C64" t="str">
        <f t="shared" si="0"/>
        <v xml:space="preserve">INSERT INTO femicidio_agresor(idFemicidio,idAgresor) VALUES (' YC2016ch28 ',' MGarcía30 '); </v>
      </c>
      <c r="G64" s="35" t="s">
        <v>920</v>
      </c>
      <c r="H64" s="35" t="s">
        <v>1101</v>
      </c>
      <c r="I64" t="str">
        <f t="shared" si="1"/>
        <v xml:space="preserve">INSERT INTO femicidio_victima(idFemicidio,idVictima) VALUES (' YC2016ch28 ',' YCarrasco18 '); </v>
      </c>
    </row>
    <row r="65" spans="1:9" ht="15.75" thickBot="1">
      <c r="A65" s="35" t="s">
        <v>921</v>
      </c>
      <c r="B65" s="39" t="s">
        <v>1023</v>
      </c>
      <c r="C65" t="str">
        <f t="shared" si="0"/>
        <v xml:space="preserve">INSERT INTO femicidio_agresor(idFemicidio,idAgresor) VALUES (' BB2016ch29 ',' JReyes33 '); </v>
      </c>
      <c r="G65" s="35" t="s">
        <v>921</v>
      </c>
      <c r="H65" s="35" t="s">
        <v>1102</v>
      </c>
      <c r="I65" t="str">
        <f t="shared" si="1"/>
        <v xml:space="preserve">INSERT INTO femicidio_victima(idFemicidio,idVictima) VALUES (' BB2016ch29 ',' BBustos28 '); </v>
      </c>
    </row>
    <row r="66" spans="1:9" ht="30.75" thickBot="1">
      <c r="A66" s="35" t="s">
        <v>922</v>
      </c>
      <c r="B66" s="39" t="s">
        <v>1024</v>
      </c>
      <c r="C66" t="str">
        <f t="shared" si="0"/>
        <v xml:space="preserve">INSERT INTO femicidio_agresor(idFemicidio,idAgresor) VALUES (' MF2016ch30 ',' JElgueta35 '); </v>
      </c>
      <c r="G66" s="35" t="s">
        <v>922</v>
      </c>
      <c r="H66" s="35" t="s">
        <v>1103</v>
      </c>
      <c r="I66" t="str">
        <f t="shared" si="1"/>
        <v xml:space="preserve">INSERT INTO femicidio_victima(idFemicidio,idVictima) VALUES (' MF2016ch30 ',' MFernández34 '); </v>
      </c>
    </row>
    <row r="67" spans="1:9" ht="15.75" thickBot="1">
      <c r="A67" s="35" t="s">
        <v>923</v>
      </c>
      <c r="B67" s="39" t="s">
        <v>999</v>
      </c>
      <c r="C67" t="str">
        <f t="shared" ref="C67:C80" si="2">"INSERT INTO femicidio_agresor(idFemicidio,idAgresor) VALUES (' "&amp;A67&amp;" ',' "&amp;B67&amp;" '); "</f>
        <v xml:space="preserve">INSERT INTO femicidio_agresor(idFemicidio,idAgresor) VALUES (' M 2016ch31 ',' NND0 '); </v>
      </c>
      <c r="G67" s="35" t="s">
        <v>923</v>
      </c>
      <c r="H67" s="35" t="s">
        <v>1104</v>
      </c>
      <c r="I67" t="str">
        <f t="shared" ref="I67:I80" si="3">"INSERT INTO femicidio_victima(idFemicidio,idVictima) VALUES (' "&amp;G67&amp;" ',' "&amp;H67&amp;" '); "</f>
        <v xml:space="preserve">INSERT INTO femicidio_victima(idFemicidio,idVictima) VALUES (' M 2016ch31 ',' MNilo34 '); </v>
      </c>
    </row>
    <row r="68" spans="1:9" ht="15.75" thickBot="1">
      <c r="A68" s="35" t="s">
        <v>924</v>
      </c>
      <c r="B68" s="39" t="s">
        <v>1025</v>
      </c>
      <c r="C68" t="str">
        <f t="shared" si="2"/>
        <v xml:space="preserve">INSERT INTO femicidio_agresor(idFemicidio,idAgresor) VALUES (' LJ2016ch32 ',' POsorio29 '); </v>
      </c>
      <c r="G68" s="35" t="s">
        <v>924</v>
      </c>
      <c r="H68" s="35" t="s">
        <v>1105</v>
      </c>
      <c r="I68" t="str">
        <f t="shared" si="3"/>
        <v xml:space="preserve">INSERT INTO femicidio_victima(idFemicidio,idVictima) VALUES (' LJ2016ch32 ',' LJara45 '); </v>
      </c>
    </row>
    <row r="69" spans="1:9" ht="30.75" thickBot="1">
      <c r="A69" s="35" t="s">
        <v>925</v>
      </c>
      <c r="B69" s="39" t="s">
        <v>1026</v>
      </c>
      <c r="C69" t="str">
        <f t="shared" si="2"/>
        <v xml:space="preserve">INSERT INTO femicidio_agresor(idFemicidio,idAgresor) VALUES (' DA2016ch33 ',' BGuzmán26 '); </v>
      </c>
      <c r="G69" s="35" t="s">
        <v>925</v>
      </c>
      <c r="H69" s="35" t="s">
        <v>1106</v>
      </c>
      <c r="I69" t="str">
        <f t="shared" si="3"/>
        <v xml:space="preserve">INSERT INTO femicidio_victima(idFemicidio,idVictima) VALUES (' DA2016ch33 ',' DAndaur24 '); </v>
      </c>
    </row>
    <row r="70" spans="1:9" ht="30.75" thickBot="1">
      <c r="A70" s="35" t="s">
        <v>926</v>
      </c>
      <c r="B70" s="39" t="s">
        <v>1027</v>
      </c>
      <c r="C70" t="str">
        <f t="shared" si="2"/>
        <v xml:space="preserve">INSERT INTO femicidio_agresor(idFemicidio,idAgresor) VALUES (' CM2016ch34 ',' FZamora27 '); </v>
      </c>
      <c r="G70" s="35" t="s">
        <v>926</v>
      </c>
      <c r="H70" s="35" t="s">
        <v>1107</v>
      </c>
      <c r="I70" t="str">
        <f t="shared" si="3"/>
        <v xml:space="preserve">INSERT INTO femicidio_victima(idFemicidio,idVictima) VALUES (' CM2016ch34 ',' CMuñoz22 '); </v>
      </c>
    </row>
    <row r="71" spans="1:9" ht="30.75" thickBot="1">
      <c r="A71" s="35" t="s">
        <v>927</v>
      </c>
      <c r="B71" s="39" t="s">
        <v>1028</v>
      </c>
      <c r="C71" t="str">
        <f t="shared" si="2"/>
        <v xml:space="preserve">INSERT INTO femicidio_agresor(idFemicidio,idAgresor) VALUES (' VM2016ch35 ',' JTobar0 '); </v>
      </c>
      <c r="G71" s="35" t="s">
        <v>927</v>
      </c>
      <c r="H71" s="35" t="s">
        <v>1108</v>
      </c>
      <c r="I71" t="str">
        <f t="shared" si="3"/>
        <v xml:space="preserve">INSERT INTO femicidio_victima(idFemicidio,idVictima) VALUES (' VM2016ch35 ',' VMedina23 '); </v>
      </c>
    </row>
    <row r="72" spans="1:9" ht="30.75" thickBot="1">
      <c r="A72" s="35" t="s">
        <v>928</v>
      </c>
      <c r="B72" s="40" t="s">
        <v>1029</v>
      </c>
      <c r="C72" t="str">
        <f t="shared" si="2"/>
        <v xml:space="preserve">INSERT INTO femicidio_agresor(idFemicidio,idAgresor) VALUES (' BM2016ch36 ',' PHuenchumán47 '); </v>
      </c>
      <c r="G72" s="35" t="s">
        <v>928</v>
      </c>
      <c r="H72" s="35" t="s">
        <v>1109</v>
      </c>
      <c r="I72" t="str">
        <f t="shared" si="3"/>
        <v xml:space="preserve">INSERT INTO femicidio_victima(idFemicidio,idVictima) VALUES (' BM2016ch36 ',' BMartínez45 '); </v>
      </c>
    </row>
    <row r="73" spans="1:9" ht="15.75" thickBot="1">
      <c r="A73" s="35" t="s">
        <v>929</v>
      </c>
      <c r="B73" s="39" t="s">
        <v>1030</v>
      </c>
      <c r="C73" t="str">
        <f t="shared" si="2"/>
        <v xml:space="preserve">INSERT INTO femicidio_agresor(idFemicidio,idAgresor) VALUES (' CC2016ch37 ',' JLillo27 '); </v>
      </c>
      <c r="G73" s="35" t="s">
        <v>929</v>
      </c>
      <c r="H73" s="35" t="s">
        <v>1110</v>
      </c>
      <c r="I73" t="str">
        <f t="shared" si="3"/>
        <v xml:space="preserve">INSERT INTO femicidio_victima(idFemicidio,idVictima) VALUES (' CC2016ch37 ',' CCruzat46 '); </v>
      </c>
    </row>
    <row r="74" spans="1:9" ht="30.75" thickBot="1">
      <c r="A74" s="35" t="s">
        <v>930</v>
      </c>
      <c r="B74" s="39" t="s">
        <v>1031</v>
      </c>
      <c r="C74" t="str">
        <f t="shared" si="2"/>
        <v xml:space="preserve">INSERT INTO femicidio_agresor(idFemicidio,idAgresor) VALUES (' PQ2016ch38 ',' pND0 '); </v>
      </c>
      <c r="G74" s="35" t="s">
        <v>930</v>
      </c>
      <c r="H74" s="35" t="s">
        <v>1111</v>
      </c>
      <c r="I74" t="str">
        <f t="shared" si="3"/>
        <v xml:space="preserve">INSERT INTO femicidio_victima(idFemicidio,idVictima) VALUES (' PQ2016ch38 ',' PQuiroga51 '); </v>
      </c>
    </row>
    <row r="75" spans="1:9" ht="30.75" thickBot="1">
      <c r="A75" s="35" t="s">
        <v>931</v>
      </c>
      <c r="B75" s="39" t="s">
        <v>1032</v>
      </c>
      <c r="C75" t="str">
        <f t="shared" si="2"/>
        <v xml:space="preserve">INSERT INTO femicidio_agresor(idFemicidio,idAgresor) VALUES (' CN2016ch39 ',' FSalas29 '); </v>
      </c>
      <c r="G75" s="35" t="s">
        <v>931</v>
      </c>
      <c r="H75" s="35" t="s">
        <v>1112</v>
      </c>
      <c r="I75" t="str">
        <f t="shared" si="3"/>
        <v xml:space="preserve">INSERT INTO femicidio_victima(idFemicidio,idVictima) VALUES (' CN2016ch39 ',' CNúñez27 '); </v>
      </c>
    </row>
    <row r="76" spans="1:9" ht="15.75" thickBot="1">
      <c r="A76" s="35" t="s">
        <v>932</v>
      </c>
      <c r="B76" s="39" t="s">
        <v>1033</v>
      </c>
      <c r="C76" t="str">
        <f t="shared" si="2"/>
        <v xml:space="preserve">INSERT INTO femicidio_agresor(idFemicidio,idAgresor) VALUES (' JS2016ch40 ',' JJorquera0 '); </v>
      </c>
      <c r="G76" s="35" t="s">
        <v>932</v>
      </c>
      <c r="H76" s="35" t="s">
        <v>1113</v>
      </c>
      <c r="I76" t="str">
        <f t="shared" si="3"/>
        <v xml:space="preserve">INSERT INTO femicidio_victima(idFemicidio,idVictima) VALUES (' JS2016ch40 ',' JSoto24 '); </v>
      </c>
    </row>
    <row r="77" spans="1:9" ht="30.75" thickBot="1">
      <c r="A77" s="35" t="s">
        <v>933</v>
      </c>
      <c r="B77" s="39" t="s">
        <v>1034</v>
      </c>
      <c r="C77" t="str">
        <f t="shared" si="2"/>
        <v xml:space="preserve">INSERT INTO femicidio_agresor(idFemicidio,idAgresor) VALUES (' NP2016ch41 ',' PValdebenito21 '); </v>
      </c>
      <c r="G77" s="35" t="s">
        <v>933</v>
      </c>
      <c r="H77" s="35" t="s">
        <v>1114</v>
      </c>
      <c r="I77" t="str">
        <f t="shared" si="3"/>
        <v xml:space="preserve">INSERT INTO femicidio_victima(idFemicidio,idVictima) VALUES (' NP2016ch41 ',' NPeña41 '); </v>
      </c>
    </row>
    <row r="78" spans="1:9" ht="30.75" thickBot="1">
      <c r="A78" s="35" t="s">
        <v>934</v>
      </c>
      <c r="B78" s="39" t="s">
        <v>1035</v>
      </c>
      <c r="C78" t="str">
        <f t="shared" si="2"/>
        <v xml:space="preserve">INSERT INTO femicidio_agresor(idFemicidio,idAgresor) VALUES (' EU2016ch42 ',' AVelásquez55 '); </v>
      </c>
      <c r="G78" s="35" t="s">
        <v>934</v>
      </c>
      <c r="H78" s="35" t="s">
        <v>1115</v>
      </c>
      <c r="I78" t="str">
        <f t="shared" si="3"/>
        <v xml:space="preserve">INSERT INTO femicidio_victima(idFemicidio,idVictima) VALUES (' EU2016ch42 ',' EUribe54 '); </v>
      </c>
    </row>
    <row r="79" spans="1:9" ht="30.75" thickBot="1">
      <c r="A79" s="35" t="s">
        <v>935</v>
      </c>
      <c r="B79" s="39" t="s">
        <v>1036</v>
      </c>
      <c r="C79" t="str">
        <f t="shared" si="2"/>
        <v xml:space="preserve">INSERT INTO femicidio_agresor(idFemicidio,idAgresor) VALUES (' MB2016ch43 ',' PCruz63 '); </v>
      </c>
      <c r="G79" s="35" t="s">
        <v>935</v>
      </c>
      <c r="H79" s="35" t="s">
        <v>1116</v>
      </c>
      <c r="I79" t="str">
        <f t="shared" si="3"/>
        <v xml:space="preserve">INSERT INTO femicidio_victima(idFemicidio,idVictima) VALUES (' MB2016ch43 ',' MBolvarán57 '); </v>
      </c>
    </row>
    <row r="80" spans="1:9" ht="30.75" thickBot="1">
      <c r="A80" s="35" t="s">
        <v>936</v>
      </c>
      <c r="B80" s="39" t="s">
        <v>1037</v>
      </c>
      <c r="C80" t="str">
        <f t="shared" si="2"/>
        <v xml:space="preserve">INSERT INTO femicidio_agresor(idFemicidio,idAgresor) VALUES (' MC2016ch44 ',' JMuñoz85 '); </v>
      </c>
      <c r="G80" s="35" t="s">
        <v>936</v>
      </c>
      <c r="H80" s="35" t="s">
        <v>1117</v>
      </c>
      <c r="I80" t="str">
        <f t="shared" si="3"/>
        <v xml:space="preserve">INSERT INTO femicidio_victima(idFemicidio,idVictima) VALUES (' MC2016ch44 ',' MCortés78 '); </v>
      </c>
    </row>
    <row r="81" spans="1:8" ht="15.75" thickBot="1">
      <c r="A81" s="9"/>
      <c r="B81" s="9"/>
      <c r="G81" s="9"/>
      <c r="H81" s="9"/>
    </row>
    <row r="82" spans="1:8" ht="15.75" thickBot="1">
      <c r="A82" s="9"/>
      <c r="B82" s="9"/>
      <c r="G82" s="9"/>
      <c r="H82" s="9"/>
    </row>
    <row r="83" spans="1:8" ht="15.75" thickBot="1">
      <c r="A83" s="9"/>
      <c r="B83" s="9"/>
      <c r="G83" s="9"/>
      <c r="H83" s="9"/>
    </row>
    <row r="84" spans="1:8" ht="15.75" thickBot="1">
      <c r="A84" s="9"/>
      <c r="B84" s="9"/>
      <c r="G84" s="9"/>
      <c r="H84" s="9"/>
    </row>
    <row r="85" spans="1:8" ht="15.75" thickBot="1">
      <c r="A85" s="9"/>
      <c r="B85" s="9"/>
      <c r="G85" s="9"/>
      <c r="H85" s="9"/>
    </row>
    <row r="86" spans="1:8" ht="15.75" thickBot="1">
      <c r="A86" s="9"/>
      <c r="B86" s="9"/>
      <c r="G86" s="9"/>
      <c r="H86" s="9"/>
    </row>
    <row r="87" spans="1:8" ht="15.75" thickBot="1">
      <c r="A87" s="9"/>
      <c r="B87" s="9"/>
      <c r="G87" s="9"/>
      <c r="H87" s="9"/>
    </row>
    <row r="88" spans="1:8" ht="15.75" thickBot="1">
      <c r="A88" s="9"/>
      <c r="B88" s="9"/>
      <c r="G88" s="9"/>
      <c r="H88" s="9"/>
    </row>
    <row r="89" spans="1:8" ht="15.75" thickBot="1">
      <c r="A89" s="9"/>
      <c r="B89" s="9"/>
      <c r="G89" s="9"/>
      <c r="H89" s="9"/>
    </row>
    <row r="90" spans="1:8" ht="15.75" thickBot="1">
      <c r="A90" s="9"/>
      <c r="B90" s="9"/>
      <c r="G90" s="9"/>
      <c r="H90" s="9"/>
    </row>
    <row r="91" spans="1:8" ht="15.75" thickBot="1">
      <c r="A91" s="9"/>
      <c r="B91" s="9"/>
      <c r="G91" s="9"/>
      <c r="H91" s="9"/>
    </row>
    <row r="92" spans="1:8" ht="15.75" thickBot="1">
      <c r="A92" s="9"/>
      <c r="B92" s="9"/>
      <c r="G92" s="9"/>
      <c r="H92" s="9"/>
    </row>
    <row r="93" spans="1:8" ht="15.75" thickBot="1">
      <c r="A93" s="9"/>
      <c r="B93" s="9"/>
      <c r="G93" s="9"/>
      <c r="H93" s="9"/>
    </row>
    <row r="94" spans="1:8" ht="15.75" thickBot="1">
      <c r="A94" s="9"/>
      <c r="B94" s="9"/>
      <c r="G94" s="9"/>
      <c r="H94" s="9"/>
    </row>
    <row r="95" spans="1:8" ht="15.75" thickBot="1">
      <c r="A95" s="9"/>
      <c r="B95" s="9"/>
      <c r="G95" s="9"/>
      <c r="H95" s="9"/>
    </row>
    <row r="96" spans="1:8" ht="15.75" thickBot="1">
      <c r="A96" s="9"/>
      <c r="B96" s="9"/>
      <c r="G96" s="9"/>
      <c r="H96" s="9"/>
    </row>
    <row r="97" spans="1:8" ht="15.75" thickBot="1">
      <c r="A97" s="9"/>
      <c r="B97" s="9"/>
      <c r="G97" s="9"/>
      <c r="H97" s="9"/>
    </row>
    <row r="98" spans="1:8" ht="15.75" thickBot="1">
      <c r="A98" s="9"/>
      <c r="B98" s="9"/>
      <c r="G98" s="9"/>
      <c r="H98" s="9"/>
    </row>
    <row r="99" spans="1:8" ht="15.75" thickBot="1">
      <c r="A99" s="9"/>
      <c r="B99" s="9"/>
      <c r="G99" s="9"/>
      <c r="H99" s="9"/>
    </row>
    <row r="100" spans="1:8" ht="15.75" thickBot="1">
      <c r="A100" s="9"/>
      <c r="B100" s="9"/>
      <c r="G100" s="9"/>
      <c r="H100" s="9"/>
    </row>
    <row r="101" spans="1:8" ht="15.75" thickBot="1">
      <c r="A101" s="9"/>
      <c r="B101" s="9"/>
      <c r="G101" s="9"/>
      <c r="H101" s="9"/>
    </row>
    <row r="102" spans="1:8" ht="15.75" thickBot="1">
      <c r="A102" s="9"/>
      <c r="B102" s="9"/>
      <c r="G102" s="9"/>
      <c r="H102" s="9"/>
    </row>
    <row r="103" spans="1:8" ht="15.75" thickBot="1">
      <c r="A103" s="9"/>
      <c r="B103" s="9"/>
      <c r="G103" s="9"/>
      <c r="H103" s="9"/>
    </row>
    <row r="104" spans="1:8" ht="15.75" thickBot="1">
      <c r="A104" s="9"/>
      <c r="B104" s="9"/>
      <c r="G104" s="9"/>
      <c r="H104" s="9"/>
    </row>
    <row r="105" spans="1:8" ht="15.75" thickBot="1">
      <c r="A105" s="9"/>
      <c r="B105" s="9"/>
      <c r="G105" s="9"/>
      <c r="H105" s="9"/>
    </row>
    <row r="106" spans="1:8" ht="15.75" thickBot="1">
      <c r="A106" s="9"/>
      <c r="B106" s="9"/>
      <c r="G106" s="9"/>
      <c r="H106" s="9"/>
    </row>
    <row r="107" spans="1:8" ht="15.75" thickBot="1">
      <c r="A107" s="9"/>
      <c r="B107" s="9"/>
      <c r="G107" s="9"/>
      <c r="H107" s="9"/>
    </row>
    <row r="108" spans="1:8" ht="15.75" thickBot="1">
      <c r="A108" s="9"/>
      <c r="B108" s="9"/>
      <c r="G108" s="9"/>
      <c r="H108" s="9"/>
    </row>
    <row r="109" spans="1:8" ht="15.75" thickBot="1">
      <c r="A109" s="9"/>
      <c r="B109" s="9"/>
      <c r="G109" s="9"/>
      <c r="H109" s="9"/>
    </row>
    <row r="110" spans="1:8" ht="15.75" thickBot="1">
      <c r="A110" s="9"/>
      <c r="B110" s="9"/>
      <c r="G110" s="9"/>
      <c r="H110" s="9"/>
    </row>
    <row r="111" spans="1:8" ht="15.75" thickBot="1">
      <c r="A111" s="9"/>
      <c r="B111" s="9"/>
      <c r="G111" s="9"/>
      <c r="H111" s="9"/>
    </row>
    <row r="112" spans="1:8" ht="15.75" thickBot="1">
      <c r="A112" s="9"/>
      <c r="B112" s="9"/>
      <c r="G112" s="9"/>
      <c r="H112" s="9"/>
    </row>
    <row r="113" spans="1:8" ht="15.75" thickBot="1">
      <c r="A113" s="9"/>
      <c r="B113" s="9"/>
      <c r="G113" s="9"/>
      <c r="H113" s="9"/>
    </row>
    <row r="114" spans="1:8" ht="15.75" thickBot="1">
      <c r="A114" s="9"/>
      <c r="B114" s="9"/>
      <c r="G114" s="9"/>
      <c r="H114" s="9"/>
    </row>
    <row r="115" spans="1:8" ht="15.75" thickBot="1">
      <c r="A115" s="9"/>
      <c r="B115" s="9"/>
      <c r="G115" s="9"/>
      <c r="H115" s="9"/>
    </row>
    <row r="116" spans="1:8" ht="15.75" thickBot="1">
      <c r="A116" s="9"/>
      <c r="B116" s="9"/>
      <c r="G116" s="9"/>
      <c r="H116" s="9"/>
    </row>
    <row r="117" spans="1:8" ht="15.75" thickBot="1">
      <c r="A117" s="9"/>
      <c r="B117" s="9"/>
      <c r="G117" s="9"/>
      <c r="H117" s="9"/>
    </row>
    <row r="118" spans="1:8" ht="15.75" thickBot="1">
      <c r="A118" s="9"/>
      <c r="B118" s="9"/>
      <c r="G118" s="9"/>
      <c r="H118" s="9"/>
    </row>
    <row r="119" spans="1:8" ht="15.75" thickBot="1">
      <c r="A119" s="9"/>
      <c r="B119" s="9"/>
      <c r="G119" s="9"/>
      <c r="H119" s="9"/>
    </row>
    <row r="120" spans="1:8" ht="15.75" thickBot="1">
      <c r="A120" s="9"/>
      <c r="B120" s="9"/>
      <c r="G120" s="9"/>
      <c r="H120" s="9"/>
    </row>
    <row r="121" spans="1:8" ht="15.75" thickBot="1">
      <c r="A121" s="9"/>
      <c r="B121" s="9"/>
      <c r="G121" s="9"/>
      <c r="H121" s="9"/>
    </row>
    <row r="122" spans="1:8" ht="15.75" thickBot="1">
      <c r="A122" s="9"/>
      <c r="B122" s="9"/>
      <c r="G122" s="9"/>
      <c r="H122" s="9"/>
    </row>
    <row r="123" spans="1:8" ht="15.75" thickBot="1">
      <c r="A123" s="9"/>
      <c r="B123" s="9"/>
      <c r="G123" s="9"/>
      <c r="H123" s="9"/>
    </row>
    <row r="124" spans="1:8" ht="15.75" thickBot="1">
      <c r="A124" s="9"/>
      <c r="B124" s="9"/>
      <c r="G124" s="9"/>
      <c r="H124" s="9"/>
    </row>
    <row r="125" spans="1:8" ht="15.75" thickBot="1">
      <c r="A125" s="9"/>
      <c r="B125" s="9"/>
      <c r="G125" s="9"/>
      <c r="H125" s="9"/>
    </row>
    <row r="126" spans="1:8" ht="15.75" thickBot="1">
      <c r="A126" s="9"/>
      <c r="B126" s="9"/>
      <c r="G126" s="9"/>
      <c r="H126" s="9"/>
    </row>
    <row r="127" spans="1:8" ht="15.75" thickBot="1">
      <c r="A127" s="9"/>
      <c r="B127" s="9"/>
      <c r="G127" s="9"/>
      <c r="H127" s="9"/>
    </row>
    <row r="128" spans="1:8" ht="15.75" thickBot="1">
      <c r="A128" s="9"/>
      <c r="B128" s="9"/>
      <c r="G128" s="9"/>
      <c r="H128" s="9"/>
    </row>
    <row r="129" spans="1:8" ht="15.75" thickBot="1">
      <c r="A129" s="9"/>
      <c r="B129" s="9"/>
      <c r="G129" s="9"/>
      <c r="H129" s="9"/>
    </row>
    <row r="130" spans="1:8" ht="15.75" thickBot="1">
      <c r="A130" s="9"/>
      <c r="B130" s="9"/>
      <c r="G130" s="9"/>
      <c r="H130" s="9"/>
    </row>
    <row r="131" spans="1:8" ht="15.75" thickBot="1">
      <c r="A131" s="9"/>
      <c r="B131" s="9"/>
      <c r="G131" s="9"/>
      <c r="H131" s="9"/>
    </row>
    <row r="132" spans="1:8" ht="15.75" thickBot="1">
      <c r="A132" s="9"/>
      <c r="B132" s="9"/>
      <c r="G132" s="9"/>
      <c r="H132" s="9"/>
    </row>
    <row r="133" spans="1:8" ht="15.75" thickBot="1">
      <c r="A133" s="9"/>
      <c r="B133" s="9"/>
      <c r="G133" s="9"/>
      <c r="H133" s="9"/>
    </row>
    <row r="134" spans="1:8" ht="15.75" thickBot="1">
      <c r="A134" s="9"/>
      <c r="B134" s="9"/>
      <c r="G134" s="9"/>
      <c r="H134" s="9"/>
    </row>
    <row r="135" spans="1:8" ht="15.75" thickBot="1">
      <c r="A135" s="9"/>
      <c r="B135" s="9"/>
      <c r="G135" s="9"/>
      <c r="H135" s="9"/>
    </row>
    <row r="136" spans="1:8" ht="15.75" thickBot="1">
      <c r="A136" s="9"/>
      <c r="B136" s="9"/>
      <c r="G136" s="9"/>
      <c r="H136" s="9"/>
    </row>
    <row r="137" spans="1:8" ht="15.75" thickBot="1">
      <c r="A137" s="9"/>
      <c r="B137" s="9"/>
      <c r="G137" s="9"/>
      <c r="H137" s="9"/>
    </row>
    <row r="138" spans="1:8" ht="15.75" thickBot="1">
      <c r="A138" s="9"/>
      <c r="B138" s="9"/>
      <c r="G138" s="9"/>
      <c r="H138" s="9"/>
    </row>
    <row r="139" spans="1:8" ht="15.75" thickBot="1">
      <c r="A139" s="9"/>
      <c r="B139" s="9"/>
      <c r="G139" s="9"/>
      <c r="H139" s="9"/>
    </row>
    <row r="140" spans="1:8" ht="15.75" thickBot="1">
      <c r="A140" s="9"/>
      <c r="B140" s="9"/>
      <c r="G140" s="9"/>
      <c r="H140" s="9"/>
    </row>
    <row r="141" spans="1:8" ht="15.75" thickBot="1">
      <c r="A141" s="9"/>
      <c r="B141" s="9"/>
      <c r="G141" s="9"/>
      <c r="H141" s="9"/>
    </row>
    <row r="142" spans="1:8" ht="15.75" thickBot="1">
      <c r="A142" s="9"/>
      <c r="B142" s="9"/>
      <c r="G142" s="9"/>
      <c r="H142" s="9"/>
    </row>
    <row r="143" spans="1:8" ht="15.75" thickBot="1">
      <c r="A143" s="9"/>
      <c r="B143" s="9"/>
      <c r="G143" s="9"/>
      <c r="H143" s="9"/>
    </row>
    <row r="144" spans="1:8" ht="15.75" thickBot="1">
      <c r="A144" s="9"/>
      <c r="B144" s="9"/>
      <c r="G144" s="9"/>
      <c r="H144" s="9"/>
    </row>
    <row r="145" spans="1:8" ht="15.75" thickBot="1">
      <c r="A145" s="9"/>
      <c r="B145" s="9"/>
      <c r="G145" s="9"/>
      <c r="H145" s="9"/>
    </row>
    <row r="146" spans="1:8" ht="15.75" thickBot="1">
      <c r="A146" s="9"/>
      <c r="B146" s="9"/>
      <c r="G146" s="9"/>
      <c r="H146" s="9"/>
    </row>
    <row r="147" spans="1:8" ht="15.75" thickBot="1">
      <c r="A147" s="9"/>
      <c r="B147" s="9"/>
      <c r="G147" s="9"/>
      <c r="H147" s="9"/>
    </row>
    <row r="148" spans="1:8" ht="15.75" thickBot="1">
      <c r="A148" s="9"/>
      <c r="B148" s="9"/>
      <c r="G148" s="9"/>
      <c r="H148" s="9"/>
    </row>
    <row r="149" spans="1:8" ht="15.75" thickBot="1">
      <c r="A149" s="9"/>
      <c r="B149" s="9"/>
      <c r="G149" s="9"/>
      <c r="H149" s="9"/>
    </row>
    <row r="150" spans="1:8" ht="15.75" thickBot="1">
      <c r="A150" s="9"/>
      <c r="B150" s="9"/>
      <c r="G150" s="9"/>
      <c r="H150" s="9"/>
    </row>
    <row r="151" spans="1:8" ht="15.75" thickBot="1">
      <c r="A151" s="9"/>
      <c r="B151" s="9"/>
      <c r="G151" s="9"/>
      <c r="H151" s="9"/>
    </row>
    <row r="152" spans="1:8" ht="15.75" thickBot="1">
      <c r="A152" s="9"/>
      <c r="B152" s="9"/>
      <c r="G152" s="9"/>
      <c r="H152" s="9"/>
    </row>
    <row r="153" spans="1:8" ht="15.75" thickBot="1">
      <c r="A153" s="9"/>
      <c r="B153" s="9"/>
      <c r="G153" s="9"/>
      <c r="H153" s="9"/>
    </row>
    <row r="154" spans="1:8" ht="15.75" thickBot="1">
      <c r="A154" s="9"/>
      <c r="B154" s="9"/>
      <c r="G154" s="9"/>
      <c r="H154" s="9"/>
    </row>
    <row r="155" spans="1:8" ht="15.75" thickBot="1">
      <c r="A155" s="9"/>
      <c r="B155" s="9"/>
      <c r="G155" s="9"/>
      <c r="H155" s="9"/>
    </row>
    <row r="156" spans="1:8" ht="15.75" thickBot="1">
      <c r="A156" s="9"/>
      <c r="B156" s="9"/>
      <c r="G156" s="9"/>
      <c r="H156" s="9"/>
    </row>
    <row r="157" spans="1:8" ht="15.75" thickBot="1">
      <c r="A157" s="9"/>
      <c r="B157" s="9"/>
      <c r="G157" s="9"/>
      <c r="H157" s="9"/>
    </row>
    <row r="158" spans="1:8" ht="15.75" thickBot="1">
      <c r="A158" s="9"/>
      <c r="B158" s="9"/>
      <c r="G158" s="9"/>
      <c r="H158" s="9"/>
    </row>
    <row r="159" spans="1:8" ht="15.75" thickBot="1">
      <c r="A159" s="9"/>
      <c r="B159" s="9"/>
      <c r="G159" s="9"/>
      <c r="H159" s="9"/>
    </row>
    <row r="160" spans="1:8" ht="15.75" thickBot="1">
      <c r="A160" s="9"/>
      <c r="B160" s="9"/>
      <c r="G160" s="9"/>
      <c r="H160" s="9"/>
    </row>
    <row r="161" spans="1:8" ht="15.75" thickBot="1">
      <c r="A161" s="9"/>
      <c r="B161" s="9"/>
      <c r="G161" s="9"/>
      <c r="H161" s="9"/>
    </row>
    <row r="162" spans="1:8" ht="15.75" thickBot="1">
      <c r="A162" s="9"/>
      <c r="B162" s="9"/>
      <c r="G162" s="9"/>
      <c r="H162" s="9"/>
    </row>
    <row r="163" spans="1:8" ht="15.75" thickBot="1">
      <c r="A163" s="9"/>
      <c r="B163" s="9"/>
      <c r="G163" s="9"/>
      <c r="H163" s="9"/>
    </row>
    <row r="164" spans="1:8" ht="15.75" thickBot="1">
      <c r="A164" s="9"/>
      <c r="B164" s="9"/>
      <c r="G164" s="9"/>
      <c r="H164" s="9"/>
    </row>
    <row r="165" spans="1:8" ht="15.75" thickBot="1">
      <c r="A165" s="9"/>
      <c r="B165" s="9"/>
      <c r="G165" s="9"/>
      <c r="H165" s="9"/>
    </row>
    <row r="166" spans="1:8" ht="15.75" thickBot="1">
      <c r="A166" s="9"/>
      <c r="B166" s="9"/>
      <c r="G166" s="9"/>
      <c r="H166" s="9"/>
    </row>
    <row r="167" spans="1:8" ht="15.75" thickBot="1">
      <c r="A167" s="9"/>
      <c r="B167" s="9"/>
      <c r="G167" s="9"/>
      <c r="H167" s="9"/>
    </row>
    <row r="168" spans="1:8" ht="15.75" thickBot="1">
      <c r="A168" s="9"/>
      <c r="B168" s="9"/>
      <c r="G168" s="9"/>
      <c r="H168" s="9"/>
    </row>
    <row r="169" spans="1:8" ht="15.75" thickBot="1">
      <c r="A169" s="9"/>
      <c r="B169" s="9"/>
      <c r="G169" s="9"/>
      <c r="H169" s="9"/>
    </row>
    <row r="170" spans="1:8" ht="15.75" thickBot="1">
      <c r="A170" s="9"/>
      <c r="B170" s="9"/>
      <c r="G170" s="9"/>
      <c r="H170" s="9"/>
    </row>
    <row r="171" spans="1:8" ht="15.75" thickBot="1">
      <c r="A171" s="9"/>
      <c r="B171" s="9"/>
      <c r="G171" s="9"/>
      <c r="H171" s="9"/>
    </row>
    <row r="172" spans="1:8" ht="15.75" thickBot="1">
      <c r="A172" s="9"/>
      <c r="B172" s="9"/>
      <c r="G172" s="9"/>
      <c r="H172" s="9"/>
    </row>
    <row r="173" spans="1:8" ht="15.75" thickBot="1">
      <c r="A173" s="9"/>
      <c r="B173" s="9"/>
      <c r="G173" s="9"/>
      <c r="H173" s="9"/>
    </row>
    <row r="174" spans="1:8" ht="15.75" thickBot="1">
      <c r="A174" s="9"/>
      <c r="B174" s="9"/>
      <c r="G174" s="9"/>
      <c r="H174" s="9"/>
    </row>
    <row r="175" spans="1:8" ht="15.75" thickBot="1">
      <c r="A175" s="9"/>
      <c r="B175" s="9"/>
      <c r="G175" s="9"/>
      <c r="H175" s="9"/>
    </row>
    <row r="176" spans="1:8" ht="15.75" thickBot="1">
      <c r="A176" s="9"/>
      <c r="B176" s="9"/>
      <c r="G176" s="9"/>
      <c r="H176" s="9"/>
    </row>
    <row r="177" spans="1:8" ht="15.75" thickBot="1">
      <c r="A177" s="9"/>
      <c r="B177" s="9"/>
      <c r="G177" s="9"/>
      <c r="H177" s="9"/>
    </row>
    <row r="178" spans="1:8" ht="15.75" thickBot="1">
      <c r="A178" s="9"/>
      <c r="B178" s="9"/>
      <c r="G178" s="9"/>
      <c r="H178" s="9"/>
    </row>
    <row r="179" spans="1:8" ht="15.75" thickBot="1">
      <c r="A179" s="9"/>
      <c r="B179" s="9"/>
      <c r="G179" s="9"/>
      <c r="H179" s="9"/>
    </row>
    <row r="180" spans="1:8" ht="15.75" thickBot="1">
      <c r="A180" s="9"/>
      <c r="B180" s="9"/>
      <c r="G180" s="9"/>
      <c r="H180" s="9"/>
    </row>
    <row r="181" spans="1:8" ht="15.75" thickBot="1">
      <c r="A181" s="9"/>
      <c r="B181" s="9"/>
      <c r="G181" s="9"/>
      <c r="H181" s="9"/>
    </row>
    <row r="182" spans="1:8" ht="15.75" thickBot="1">
      <c r="A182" s="9"/>
      <c r="B182" s="9"/>
      <c r="G182" s="9"/>
      <c r="H182" s="9"/>
    </row>
    <row r="183" spans="1:8" ht="15.75" thickBot="1">
      <c r="A183" s="9"/>
      <c r="B183" s="9"/>
      <c r="G183" s="9"/>
      <c r="H183" s="9"/>
    </row>
    <row r="184" spans="1:8" ht="15.75" thickBot="1">
      <c r="A184" s="9"/>
      <c r="B184" s="9"/>
      <c r="G184" s="9"/>
      <c r="H184" s="9"/>
    </row>
    <row r="185" spans="1:8" ht="15.75" thickBot="1">
      <c r="A185" s="9"/>
      <c r="B185" s="9"/>
      <c r="G185" s="9"/>
      <c r="H185" s="9"/>
    </row>
    <row r="186" spans="1:8" ht="15.75" thickBot="1">
      <c r="A186" s="9"/>
      <c r="B186" s="9"/>
      <c r="G186" s="9"/>
      <c r="H186" s="9"/>
    </row>
    <row r="187" spans="1:8" ht="15.75" thickBot="1">
      <c r="A187" s="9"/>
      <c r="B187" s="9"/>
      <c r="G187" s="9"/>
      <c r="H187" s="9"/>
    </row>
    <row r="188" spans="1:8" ht="15.75" thickBot="1">
      <c r="A188" s="9"/>
      <c r="B188" s="9"/>
      <c r="G188" s="9"/>
      <c r="H188" s="9"/>
    </row>
    <row r="189" spans="1:8" ht="15.75" thickBot="1">
      <c r="A189" s="9"/>
      <c r="B189" s="9"/>
      <c r="G189" s="9"/>
      <c r="H189" s="9"/>
    </row>
    <row r="190" spans="1:8" ht="15.75" thickBot="1">
      <c r="A190" s="9"/>
      <c r="B190" s="9"/>
      <c r="G190" s="9"/>
      <c r="H190" s="9"/>
    </row>
    <row r="191" spans="1:8" ht="15.75" thickBot="1">
      <c r="A191" s="9"/>
      <c r="B191" s="9"/>
      <c r="G191" s="9"/>
      <c r="H191" s="9"/>
    </row>
    <row r="192" spans="1:8" ht="15.75" thickBot="1">
      <c r="A192" s="9"/>
      <c r="B192" s="9"/>
      <c r="G192" s="9"/>
      <c r="H192" s="9"/>
    </row>
    <row r="193" spans="1:8" ht="15.75" thickBot="1">
      <c r="A193" s="9"/>
      <c r="B193" s="9"/>
      <c r="G193" s="9"/>
      <c r="H193" s="9"/>
    </row>
    <row r="194" spans="1:8" ht="15.75" thickBot="1">
      <c r="A194" s="9"/>
      <c r="B194" s="9"/>
      <c r="G194" s="9"/>
      <c r="H194" s="9"/>
    </row>
    <row r="195" spans="1:8" ht="15.75" thickBot="1">
      <c r="A195" s="9"/>
      <c r="B195" s="9"/>
      <c r="G195" s="9"/>
      <c r="H195" s="9"/>
    </row>
    <row r="196" spans="1:8" ht="15.75" thickBot="1">
      <c r="A196" s="9"/>
      <c r="B196" s="9"/>
      <c r="G196" s="9"/>
      <c r="H196" s="9"/>
    </row>
    <row r="197" spans="1:8" ht="15.75" thickBot="1">
      <c r="A197" s="9"/>
      <c r="B197" s="9"/>
      <c r="G197" s="9"/>
      <c r="H197" s="9"/>
    </row>
    <row r="198" spans="1:8" ht="15.75" thickBot="1">
      <c r="A198" s="9"/>
      <c r="B198" s="9"/>
      <c r="G198" s="9"/>
      <c r="H198" s="9"/>
    </row>
    <row r="199" spans="1:8" ht="15.75" thickBot="1">
      <c r="A199" s="9"/>
      <c r="B199" s="9"/>
      <c r="G199" s="9"/>
      <c r="H199" s="9"/>
    </row>
    <row r="200" spans="1:8" ht="15.75" thickBot="1">
      <c r="A200" s="9"/>
      <c r="B200" s="9"/>
      <c r="G200" s="9"/>
      <c r="H200" s="9"/>
    </row>
    <row r="201" spans="1:8" ht="15.75" thickBot="1">
      <c r="A201" s="9"/>
      <c r="B201" s="9"/>
      <c r="G201" s="9"/>
      <c r="H201" s="9"/>
    </row>
    <row r="202" spans="1:8" ht="15.75" thickBot="1">
      <c r="A202" s="9"/>
      <c r="B202" s="9"/>
      <c r="G202" s="9"/>
      <c r="H202" s="9"/>
    </row>
    <row r="203" spans="1:8" ht="15.75" thickBot="1">
      <c r="A203" s="9"/>
      <c r="B203" s="9"/>
      <c r="G203" s="9"/>
      <c r="H203" s="9"/>
    </row>
    <row r="204" spans="1:8" ht="15.75" thickBot="1">
      <c r="A204" s="9"/>
      <c r="B204" s="9"/>
      <c r="G204" s="9"/>
      <c r="H204" s="9"/>
    </row>
    <row r="205" spans="1:8" ht="15.75" thickBot="1">
      <c r="A205" s="9"/>
      <c r="B205" s="9"/>
      <c r="G205" s="9"/>
      <c r="H205" s="9"/>
    </row>
    <row r="206" spans="1:8" ht="15.75" thickBot="1">
      <c r="A206" s="9"/>
      <c r="B206" s="9"/>
      <c r="G206" s="9"/>
      <c r="H206" s="9"/>
    </row>
    <row r="207" spans="1:8" ht="15.75" thickBot="1">
      <c r="A207" s="9"/>
      <c r="B207" s="9"/>
      <c r="G207" s="9"/>
      <c r="H207" s="9"/>
    </row>
    <row r="208" spans="1:8" ht="15.75" thickBot="1">
      <c r="A208" s="9"/>
      <c r="B208" s="9"/>
      <c r="G208" s="9"/>
      <c r="H208" s="9"/>
    </row>
    <row r="209" spans="1:8" ht="15.75" thickBot="1">
      <c r="A209" s="9"/>
      <c r="B209" s="9"/>
      <c r="G209" s="9"/>
      <c r="H209" s="9"/>
    </row>
    <row r="210" spans="1:8" ht="15.75" thickBot="1">
      <c r="A210" s="9"/>
      <c r="B210" s="9"/>
      <c r="G210" s="9"/>
      <c r="H210" s="9"/>
    </row>
    <row r="211" spans="1:8" ht="15.75" thickBot="1">
      <c r="A211" s="9"/>
      <c r="B211" s="9"/>
      <c r="G211" s="9"/>
      <c r="H211" s="9"/>
    </row>
    <row r="212" spans="1:8" ht="15.75" thickBot="1">
      <c r="A212" s="9"/>
      <c r="B212" s="9"/>
      <c r="G212" s="9"/>
      <c r="H212" s="9"/>
    </row>
    <row r="213" spans="1:8" ht="15.75" thickBot="1">
      <c r="A213" s="9"/>
      <c r="B213" s="9"/>
      <c r="G213" s="9"/>
      <c r="H213" s="9"/>
    </row>
    <row r="214" spans="1:8" ht="15.75" thickBot="1">
      <c r="A214" s="9"/>
      <c r="B214" s="9"/>
      <c r="G214" s="9"/>
      <c r="H214" s="9"/>
    </row>
    <row r="215" spans="1:8" ht="15.75" thickBot="1">
      <c r="A215" s="9"/>
      <c r="B215" s="9"/>
      <c r="G215" s="9"/>
      <c r="H215" s="9"/>
    </row>
    <row r="216" spans="1:8" ht="15.75" thickBot="1">
      <c r="A216" s="9"/>
      <c r="B216" s="9"/>
      <c r="G216" s="9"/>
      <c r="H216" s="9"/>
    </row>
    <row r="217" spans="1:8" ht="15.75" thickBot="1">
      <c r="A217" s="9"/>
      <c r="B217" s="9"/>
      <c r="G217" s="9"/>
      <c r="H217" s="9"/>
    </row>
    <row r="218" spans="1:8" ht="15.75" thickBot="1">
      <c r="A218" s="9"/>
      <c r="B218" s="9"/>
      <c r="G218" s="9"/>
      <c r="H218" s="9"/>
    </row>
    <row r="219" spans="1:8" ht="15.75" thickBot="1">
      <c r="A219" s="9"/>
      <c r="B219" s="9"/>
      <c r="G219" s="9"/>
      <c r="H219" s="9"/>
    </row>
    <row r="220" spans="1:8" ht="15.75" thickBot="1">
      <c r="A220" s="9"/>
      <c r="B220" s="9"/>
      <c r="G220" s="9"/>
      <c r="H220" s="9"/>
    </row>
    <row r="221" spans="1:8" ht="15.75" thickBot="1">
      <c r="A221" s="9"/>
      <c r="B221" s="9"/>
      <c r="G221" s="9"/>
      <c r="H221" s="9"/>
    </row>
    <row r="222" spans="1:8" ht="15.75" thickBot="1">
      <c r="A222" s="9"/>
      <c r="B222" s="9"/>
      <c r="G222" s="9"/>
      <c r="H222" s="9"/>
    </row>
    <row r="223" spans="1:8" ht="15.75" thickBot="1">
      <c r="A223" s="9"/>
      <c r="B223" s="9"/>
      <c r="G223" s="9"/>
      <c r="H223" s="9"/>
    </row>
    <row r="224" spans="1:8" ht="15.75" thickBot="1">
      <c r="A224" s="9"/>
      <c r="B224" s="9"/>
      <c r="G224" s="9"/>
      <c r="H224" s="9"/>
    </row>
    <row r="225" spans="1:8" ht="15.75" thickBot="1">
      <c r="A225" s="9"/>
      <c r="B225" s="9"/>
      <c r="G225" s="9"/>
      <c r="H225" s="9"/>
    </row>
    <row r="226" spans="1:8" ht="15.75" thickBot="1">
      <c r="A226" s="9"/>
      <c r="B226" s="9"/>
      <c r="G226" s="9"/>
      <c r="H226" s="9"/>
    </row>
    <row r="227" spans="1:8" ht="15.75" thickBot="1">
      <c r="A227" s="9"/>
      <c r="B227" s="9"/>
      <c r="G227" s="9"/>
      <c r="H227" s="9"/>
    </row>
    <row r="228" spans="1:8" ht="15.75" thickBot="1">
      <c r="A228" s="9"/>
      <c r="B228" s="9"/>
      <c r="G228" s="9"/>
      <c r="H228" s="9"/>
    </row>
    <row r="229" spans="1:8" ht="15.75" thickBot="1">
      <c r="A229" s="9"/>
      <c r="B229" s="9"/>
      <c r="G229" s="9"/>
      <c r="H229" s="9"/>
    </row>
    <row r="230" spans="1:8" ht="15.75" thickBot="1">
      <c r="A230" s="9"/>
      <c r="B230" s="9"/>
      <c r="G230" s="9"/>
      <c r="H230" s="9"/>
    </row>
    <row r="231" spans="1:8" ht="15.75" thickBot="1">
      <c r="A231" s="9"/>
      <c r="B231" s="9"/>
      <c r="G231" s="9"/>
      <c r="H231" s="9"/>
    </row>
    <row r="232" spans="1:8" ht="15.75" thickBot="1">
      <c r="A232" s="9"/>
      <c r="B232" s="9"/>
      <c r="G232" s="9"/>
      <c r="H232" s="9"/>
    </row>
    <row r="233" spans="1:8" ht="15.75" thickBot="1">
      <c r="A233" s="9"/>
      <c r="B233" s="9"/>
      <c r="G233" s="9"/>
      <c r="H233" s="9"/>
    </row>
    <row r="234" spans="1:8" ht="15.75" thickBot="1">
      <c r="A234" s="9"/>
      <c r="B234" s="9"/>
      <c r="G234" s="9"/>
      <c r="H234" s="9"/>
    </row>
    <row r="235" spans="1:8" ht="15.75" thickBot="1">
      <c r="A235" s="9"/>
      <c r="B235" s="9"/>
      <c r="G235" s="9"/>
      <c r="H235" s="9"/>
    </row>
    <row r="236" spans="1:8" ht="15.75" thickBot="1">
      <c r="A236" s="9"/>
      <c r="B236" s="9"/>
      <c r="G236" s="9"/>
      <c r="H236" s="9"/>
    </row>
    <row r="237" spans="1:8" ht="15.75" thickBot="1">
      <c r="A237" s="9"/>
      <c r="B237" s="9"/>
      <c r="G237" s="9"/>
      <c r="H237" s="9"/>
    </row>
    <row r="238" spans="1:8" ht="15.75" thickBot="1">
      <c r="A238" s="9"/>
      <c r="B238" s="9"/>
      <c r="G238" s="9"/>
      <c r="H238" s="9"/>
    </row>
    <row r="239" spans="1:8" ht="15.75" thickBot="1">
      <c r="A239" s="9"/>
      <c r="B239" s="9"/>
      <c r="G239" s="9"/>
      <c r="H239" s="9"/>
    </row>
    <row r="240" spans="1:8" ht="15.75" thickBot="1">
      <c r="A240" s="9"/>
      <c r="B240" s="9"/>
      <c r="G240" s="9"/>
      <c r="H240" s="9"/>
    </row>
    <row r="241" spans="1:8" ht="15.75" thickBot="1">
      <c r="A241" s="9"/>
      <c r="B241" s="9"/>
      <c r="G241" s="9"/>
      <c r="H241" s="9"/>
    </row>
    <row r="242" spans="1:8" ht="15.75" thickBot="1">
      <c r="A242" s="9"/>
      <c r="B242" s="9"/>
      <c r="G242" s="9"/>
      <c r="H242" s="9"/>
    </row>
    <row r="243" spans="1:8" ht="15.75" thickBot="1">
      <c r="A243" s="9"/>
      <c r="B243" s="9"/>
      <c r="G243" s="9"/>
      <c r="H243" s="9"/>
    </row>
    <row r="244" spans="1:8" ht="15.75" thickBot="1">
      <c r="A244" s="9"/>
      <c r="B244" s="9"/>
      <c r="G244" s="9"/>
      <c r="H244" s="9"/>
    </row>
    <row r="245" spans="1:8" ht="15.75" thickBot="1">
      <c r="A245" s="9"/>
      <c r="B245" s="9"/>
      <c r="G245" s="9"/>
      <c r="H245" s="9"/>
    </row>
    <row r="246" spans="1:8" ht="15.75" thickBot="1">
      <c r="A246" s="9"/>
      <c r="B246" s="9"/>
      <c r="G246" s="9"/>
      <c r="H246" s="9"/>
    </row>
    <row r="247" spans="1:8" ht="15.75" thickBot="1">
      <c r="A247" s="9"/>
      <c r="B247" s="9"/>
      <c r="G247" s="9"/>
      <c r="H247" s="9"/>
    </row>
    <row r="248" spans="1:8" ht="15.75" thickBot="1">
      <c r="A248" s="9"/>
      <c r="B248" s="9"/>
      <c r="G248" s="9"/>
      <c r="H248" s="9"/>
    </row>
    <row r="249" spans="1:8" ht="15.75" thickBot="1">
      <c r="A249" s="9"/>
      <c r="B249" s="9"/>
      <c r="G249" s="9"/>
      <c r="H249" s="9"/>
    </row>
    <row r="250" spans="1:8" ht="15.75" thickBot="1">
      <c r="A250" s="9"/>
      <c r="B250" s="9"/>
      <c r="G250" s="9"/>
      <c r="H250" s="9"/>
    </row>
    <row r="251" spans="1:8" ht="15.75" thickBot="1">
      <c r="A251" s="9"/>
      <c r="B251" s="9"/>
      <c r="G251" s="9"/>
      <c r="H251" s="9"/>
    </row>
    <row r="252" spans="1:8" ht="15.75" thickBot="1">
      <c r="A252" s="9"/>
      <c r="B252" s="9"/>
      <c r="G252" s="9"/>
      <c r="H252" s="9"/>
    </row>
    <row r="253" spans="1:8" ht="15.75" thickBot="1">
      <c r="A253" s="9"/>
      <c r="B253" s="9"/>
      <c r="G253" s="9"/>
      <c r="H253" s="9"/>
    </row>
    <row r="254" spans="1:8" ht="15.75" thickBot="1">
      <c r="A254" s="9"/>
      <c r="B254" s="9"/>
      <c r="G254" s="9"/>
      <c r="H254" s="9"/>
    </row>
    <row r="255" spans="1:8" ht="15.75" thickBot="1">
      <c r="A255" s="9"/>
      <c r="B255" s="9"/>
      <c r="G255" s="9"/>
      <c r="H255" s="9"/>
    </row>
    <row r="256" spans="1:8" ht="15.75" thickBot="1">
      <c r="A256" s="9"/>
      <c r="B256" s="9"/>
      <c r="G256" s="9"/>
      <c r="H256" s="9"/>
    </row>
    <row r="257" spans="1:8" ht="15.75" thickBot="1">
      <c r="A257" s="9"/>
      <c r="B257" s="9"/>
      <c r="G257" s="9"/>
      <c r="H257" s="9"/>
    </row>
    <row r="258" spans="1:8" ht="15.75" thickBot="1">
      <c r="A258" s="9"/>
      <c r="B258" s="9"/>
      <c r="G258" s="9"/>
      <c r="H258" s="9"/>
    </row>
    <row r="259" spans="1:8" ht="15.75" thickBot="1">
      <c r="A259" s="9"/>
      <c r="B259" s="9"/>
      <c r="G259" s="9"/>
      <c r="H259" s="9"/>
    </row>
    <row r="260" spans="1:8" ht="15.75" thickBot="1">
      <c r="A260" s="9"/>
      <c r="B260" s="9"/>
      <c r="G260" s="9"/>
      <c r="H260" s="9"/>
    </row>
    <row r="261" spans="1:8" ht="15.75" thickBot="1">
      <c r="A261" s="9"/>
      <c r="B261" s="9"/>
      <c r="G261" s="9"/>
      <c r="H261" s="9"/>
    </row>
    <row r="262" spans="1:8" ht="15.75" thickBot="1">
      <c r="A262" s="9"/>
      <c r="B262" s="9"/>
      <c r="G262" s="9"/>
      <c r="H262" s="9"/>
    </row>
    <row r="263" spans="1:8" ht="15.75" thickBot="1">
      <c r="A263" s="9"/>
      <c r="B263" s="9"/>
      <c r="G263" s="9"/>
      <c r="H263" s="9"/>
    </row>
    <row r="264" spans="1:8" ht="15.75" thickBot="1">
      <c r="A264" s="9"/>
      <c r="B264" s="9"/>
      <c r="G264" s="9"/>
      <c r="H264" s="9"/>
    </row>
    <row r="265" spans="1:8" ht="15.75" thickBot="1">
      <c r="A265" s="9"/>
      <c r="B265" s="9"/>
      <c r="G265" s="9"/>
      <c r="H265" s="9"/>
    </row>
    <row r="266" spans="1:8" ht="15.75" thickBot="1">
      <c r="A266" s="9"/>
      <c r="B266" s="9"/>
      <c r="G266" s="9"/>
      <c r="H266" s="9"/>
    </row>
    <row r="267" spans="1:8" ht="15.75" thickBot="1">
      <c r="A267" s="9"/>
      <c r="B267" s="9"/>
      <c r="G267" s="9"/>
      <c r="H267" s="9"/>
    </row>
    <row r="268" spans="1:8" ht="15.75" thickBot="1">
      <c r="A268" s="9"/>
      <c r="B268" s="9"/>
      <c r="G268" s="9"/>
      <c r="H268" s="9"/>
    </row>
    <row r="269" spans="1:8" ht="15.75" thickBot="1">
      <c r="A269" s="9"/>
      <c r="B269" s="9"/>
      <c r="G269" s="9"/>
      <c r="H269" s="9"/>
    </row>
    <row r="270" spans="1:8" ht="15.75" thickBot="1">
      <c r="A270" s="9"/>
      <c r="B270" s="9"/>
      <c r="G270" s="9"/>
      <c r="H270" s="9"/>
    </row>
    <row r="271" spans="1:8" ht="15.75" thickBot="1">
      <c r="A271" s="9"/>
      <c r="B271" s="9"/>
      <c r="G271" s="9"/>
      <c r="H271" s="9"/>
    </row>
    <row r="272" spans="1:8" ht="15.75" thickBot="1">
      <c r="A272" s="9"/>
      <c r="B272" s="9"/>
      <c r="G272" s="9"/>
      <c r="H272" s="9"/>
    </row>
    <row r="273" spans="1:8" ht="15.75" thickBot="1">
      <c r="A273" s="9"/>
      <c r="B273" s="9"/>
      <c r="G273" s="9"/>
      <c r="H273" s="9"/>
    </row>
    <row r="274" spans="1:8" ht="15.75" thickBot="1">
      <c r="A274" s="9"/>
      <c r="B274" s="9"/>
      <c r="G274" s="9"/>
      <c r="H274" s="9"/>
    </row>
    <row r="275" spans="1:8" ht="15.75" thickBot="1">
      <c r="A275" s="9"/>
      <c r="B275" s="9"/>
      <c r="G275" s="9"/>
      <c r="H275" s="9"/>
    </row>
    <row r="276" spans="1:8" ht="15.75" thickBot="1">
      <c r="A276" s="9"/>
      <c r="B276" s="9"/>
      <c r="G276" s="9"/>
      <c r="H276" s="9"/>
    </row>
    <row r="277" spans="1:8" ht="15.75" thickBot="1">
      <c r="A277" s="9"/>
      <c r="B277" s="9"/>
      <c r="G277" s="9"/>
      <c r="H277" s="9"/>
    </row>
    <row r="278" spans="1:8" ht="15.75" thickBot="1">
      <c r="A278" s="9"/>
      <c r="B278" s="9"/>
      <c r="G278" s="9"/>
      <c r="H278" s="9"/>
    </row>
    <row r="279" spans="1:8" ht="15.75" thickBot="1">
      <c r="A279" s="9"/>
      <c r="B279" s="9"/>
      <c r="G279" s="9"/>
      <c r="H279" s="9"/>
    </row>
    <row r="280" spans="1:8" ht="15.75" thickBot="1">
      <c r="A280" s="9"/>
      <c r="B280" s="9"/>
      <c r="G280" s="9"/>
      <c r="H280" s="9"/>
    </row>
    <row r="281" spans="1:8" ht="15.75" thickBot="1">
      <c r="A281" s="9"/>
      <c r="B281" s="9"/>
      <c r="G281" s="9"/>
      <c r="H281" s="9"/>
    </row>
    <row r="282" spans="1:8" ht="15.75" thickBot="1">
      <c r="A282" s="9"/>
      <c r="B282" s="9"/>
      <c r="G282" s="9"/>
      <c r="H282" s="9"/>
    </row>
    <row r="283" spans="1:8" ht="15.75" thickBot="1">
      <c r="A283" s="9"/>
      <c r="B283" s="9"/>
      <c r="G283" s="9"/>
      <c r="H283" s="9"/>
    </row>
    <row r="284" spans="1:8" ht="15.75" thickBot="1">
      <c r="A284" s="9"/>
      <c r="B284" s="9"/>
      <c r="G284" s="9"/>
      <c r="H284" s="9"/>
    </row>
    <row r="285" spans="1:8" ht="15.75" thickBot="1">
      <c r="A285" s="9"/>
      <c r="B285" s="9"/>
      <c r="G285" s="9"/>
      <c r="H285" s="9"/>
    </row>
    <row r="286" spans="1:8" ht="15.75" thickBot="1">
      <c r="A286" s="9"/>
      <c r="B286" s="9"/>
      <c r="G286" s="9"/>
      <c r="H286" s="9"/>
    </row>
    <row r="287" spans="1:8" ht="15.75" thickBot="1">
      <c r="A287" s="9"/>
      <c r="B287" s="9"/>
      <c r="G287" s="9"/>
      <c r="H287" s="9"/>
    </row>
    <row r="288" spans="1:8" ht="15.75" thickBot="1">
      <c r="A288" s="9"/>
      <c r="B288" s="9"/>
      <c r="G288" s="9"/>
      <c r="H288" s="9"/>
    </row>
    <row r="289" spans="1:8" ht="15.75" thickBot="1">
      <c r="A289" s="9"/>
      <c r="B289" s="9"/>
      <c r="G289" s="9"/>
      <c r="H289" s="9"/>
    </row>
    <row r="290" spans="1:8" ht="15.75" thickBot="1">
      <c r="A290" s="9"/>
      <c r="B290" s="9"/>
      <c r="G290" s="9"/>
      <c r="H290" s="9"/>
    </row>
    <row r="291" spans="1:8" ht="15.75" thickBot="1">
      <c r="A291" s="9"/>
      <c r="B291" s="9"/>
      <c r="G291" s="9"/>
      <c r="H291" s="9"/>
    </row>
    <row r="292" spans="1:8" ht="15.75" thickBot="1">
      <c r="A292" s="9"/>
      <c r="B292" s="9"/>
      <c r="G292" s="9"/>
      <c r="H292" s="9"/>
    </row>
    <row r="293" spans="1:8" ht="15.75" thickBot="1">
      <c r="A293" s="9"/>
      <c r="B293" s="9"/>
      <c r="G293" s="9"/>
      <c r="H293" s="9"/>
    </row>
    <row r="294" spans="1:8" ht="15.75" thickBot="1">
      <c r="A294" s="9"/>
      <c r="B294" s="9"/>
      <c r="G294" s="9"/>
      <c r="H294" s="9"/>
    </row>
    <row r="295" spans="1:8" ht="15.75" thickBot="1">
      <c r="A295" s="9"/>
      <c r="B295" s="9"/>
      <c r="G295" s="9"/>
      <c r="H295" s="9"/>
    </row>
    <row r="296" spans="1:8" ht="15.75" thickBot="1">
      <c r="A296" s="9"/>
      <c r="B296" s="9"/>
      <c r="G296" s="9"/>
      <c r="H296" s="9"/>
    </row>
    <row r="297" spans="1:8" ht="15.75" thickBot="1">
      <c r="A297" s="9"/>
      <c r="B297" s="9"/>
      <c r="G297" s="9"/>
      <c r="H297" s="9"/>
    </row>
    <row r="298" spans="1:8" ht="15.75" thickBot="1">
      <c r="A298" s="9"/>
      <c r="B298" s="9"/>
      <c r="G298" s="9"/>
      <c r="H298" s="9"/>
    </row>
    <row r="299" spans="1:8" ht="15.75" thickBot="1">
      <c r="A299" s="9"/>
      <c r="B299" s="9"/>
      <c r="G299" s="9"/>
      <c r="H299" s="9"/>
    </row>
    <row r="300" spans="1:8" ht="15.75" thickBot="1">
      <c r="A300" s="9"/>
      <c r="B300" s="9"/>
      <c r="G300" s="9"/>
      <c r="H300" s="9"/>
    </row>
    <row r="301" spans="1:8" ht="15.75" thickBot="1">
      <c r="A301" s="9"/>
      <c r="B301" s="9"/>
      <c r="G301" s="9"/>
      <c r="H301" s="9"/>
    </row>
    <row r="302" spans="1:8" ht="15.75" thickBot="1">
      <c r="A302" s="9"/>
      <c r="B302" s="9"/>
      <c r="G302" s="9"/>
      <c r="H302" s="9"/>
    </row>
    <row r="303" spans="1:8" ht="15.75" thickBot="1">
      <c r="A303" s="9"/>
      <c r="B303" s="9"/>
      <c r="G303" s="9"/>
      <c r="H303" s="9"/>
    </row>
    <row r="304" spans="1:8" ht="15.75" thickBot="1">
      <c r="A304" s="9"/>
      <c r="B304" s="9"/>
      <c r="G304" s="9"/>
      <c r="H304" s="9"/>
    </row>
    <row r="305" spans="1:8" ht="15.75" thickBot="1">
      <c r="A305" s="9"/>
      <c r="B305" s="9"/>
      <c r="G305" s="9"/>
      <c r="H305" s="9"/>
    </row>
    <row r="306" spans="1:8" ht="15.75" thickBot="1">
      <c r="A306" s="9"/>
      <c r="B306" s="9"/>
      <c r="G306" s="9"/>
      <c r="H306" s="9"/>
    </row>
    <row r="307" spans="1:8" ht="15.75" thickBot="1">
      <c r="A307" s="9"/>
      <c r="B307" s="9"/>
      <c r="G307" s="9"/>
      <c r="H307" s="9"/>
    </row>
    <row r="308" spans="1:8" ht="15.75" thickBot="1">
      <c r="A308" s="9"/>
      <c r="B308" s="9"/>
      <c r="G308" s="9"/>
      <c r="H308" s="9"/>
    </row>
    <row r="309" spans="1:8" ht="15.75" thickBot="1">
      <c r="A309" s="9"/>
      <c r="B309" s="9"/>
      <c r="G309" s="9"/>
      <c r="H309" s="9"/>
    </row>
    <row r="310" spans="1:8" ht="15.75" thickBot="1">
      <c r="A310" s="9"/>
      <c r="B310" s="9"/>
      <c r="G310" s="9"/>
      <c r="H310" s="9"/>
    </row>
    <row r="311" spans="1:8" ht="15.75" thickBot="1">
      <c r="A311" s="9"/>
      <c r="B311" s="9"/>
      <c r="G311" s="9"/>
      <c r="H311" s="9"/>
    </row>
    <row r="312" spans="1:8" ht="15.75" thickBot="1">
      <c r="A312" s="9"/>
      <c r="B312" s="9"/>
      <c r="G312" s="9"/>
      <c r="H312" s="9"/>
    </row>
    <row r="313" spans="1:8" ht="15.75" thickBot="1">
      <c r="A313" s="9"/>
      <c r="B313" s="9"/>
      <c r="G313" s="9"/>
      <c r="H313" s="9"/>
    </row>
    <row r="314" spans="1:8" ht="15.75" thickBot="1">
      <c r="A314" s="9"/>
      <c r="B314" s="9"/>
      <c r="G314" s="9"/>
      <c r="H314" s="9"/>
    </row>
    <row r="315" spans="1:8" ht="15.75" thickBot="1">
      <c r="A315" s="9"/>
      <c r="B315" s="9"/>
      <c r="G315" s="9"/>
      <c r="H315" s="9"/>
    </row>
    <row r="316" spans="1:8" ht="15.75" thickBot="1">
      <c r="A316" s="9"/>
      <c r="B316" s="9"/>
      <c r="G316" s="9"/>
      <c r="H316" s="9"/>
    </row>
    <row r="317" spans="1:8" ht="15.75" thickBot="1">
      <c r="A317" s="9"/>
      <c r="B317" s="9"/>
      <c r="G317" s="9"/>
      <c r="H317" s="9"/>
    </row>
    <row r="318" spans="1:8" ht="15.75" thickBot="1">
      <c r="A318" s="9"/>
      <c r="B318" s="9"/>
      <c r="G318" s="9"/>
      <c r="H318" s="9"/>
    </row>
    <row r="319" spans="1:8" ht="15.75" thickBot="1">
      <c r="A319" s="9"/>
      <c r="B319" s="9"/>
      <c r="G319" s="9"/>
      <c r="H319" s="9"/>
    </row>
    <row r="320" spans="1:8" ht="15.75" thickBot="1">
      <c r="A320" s="9"/>
      <c r="B320" s="9"/>
      <c r="G320" s="9"/>
      <c r="H320" s="9"/>
    </row>
    <row r="321" spans="1:8" ht="15.75" thickBot="1">
      <c r="A321" s="9"/>
      <c r="B321" s="9"/>
      <c r="G321" s="9"/>
      <c r="H321" s="9"/>
    </row>
    <row r="322" spans="1:8" ht="15.75" thickBot="1">
      <c r="A322" s="9"/>
      <c r="B322" s="9"/>
      <c r="G322" s="9"/>
      <c r="H322" s="9"/>
    </row>
    <row r="323" spans="1:8" ht="15.75" thickBot="1">
      <c r="A323" s="9"/>
      <c r="B323" s="9"/>
      <c r="G323" s="9"/>
      <c r="H323" s="9"/>
    </row>
    <row r="324" spans="1:8" ht="15.75" thickBot="1">
      <c r="A324" s="9"/>
      <c r="B324" s="9"/>
      <c r="G324" s="9"/>
      <c r="H324" s="9"/>
    </row>
    <row r="325" spans="1:8" ht="15.75" thickBot="1">
      <c r="A325" s="9"/>
      <c r="B325" s="9"/>
      <c r="G325" s="9"/>
      <c r="H325" s="9"/>
    </row>
    <row r="326" spans="1:8" ht="15.75" thickBot="1">
      <c r="A326" s="9"/>
      <c r="B326" s="9"/>
      <c r="G326" s="9"/>
      <c r="H326" s="9"/>
    </row>
    <row r="327" spans="1:8" ht="15.75" thickBot="1">
      <c r="A327" s="9"/>
      <c r="B327" s="9"/>
      <c r="G327" s="9"/>
      <c r="H327" s="9"/>
    </row>
    <row r="328" spans="1:8" ht="15.75" thickBot="1">
      <c r="A328" s="9"/>
      <c r="B328" s="9"/>
      <c r="G328" s="9"/>
      <c r="H328" s="9"/>
    </row>
    <row r="329" spans="1:8" ht="15.75" thickBot="1">
      <c r="A329" s="9"/>
      <c r="B329" s="9"/>
      <c r="G329" s="9"/>
      <c r="H329" s="9"/>
    </row>
    <row r="330" spans="1:8" ht="15.75" thickBot="1">
      <c r="A330" s="9"/>
      <c r="B330" s="9"/>
      <c r="G330" s="9"/>
      <c r="H330" s="9"/>
    </row>
    <row r="331" spans="1:8" ht="15.75" thickBot="1">
      <c r="A331" s="9"/>
      <c r="B331" s="9"/>
      <c r="G331" s="9"/>
      <c r="H331" s="9"/>
    </row>
    <row r="332" spans="1:8" ht="15.75" thickBot="1">
      <c r="A332" s="9"/>
      <c r="B332" s="9"/>
      <c r="G332" s="9"/>
      <c r="H332" s="9"/>
    </row>
    <row r="333" spans="1:8" ht="15.75" thickBot="1">
      <c r="A333" s="9"/>
      <c r="B333" s="9"/>
      <c r="G333" s="9"/>
      <c r="H333" s="9"/>
    </row>
    <row r="334" spans="1:8" ht="15.75" thickBot="1">
      <c r="A334" s="9"/>
      <c r="B334" s="9"/>
      <c r="G334" s="9"/>
      <c r="H334" s="9"/>
    </row>
    <row r="335" spans="1:8" ht="15.75" thickBot="1">
      <c r="A335" s="9"/>
      <c r="B335" s="9"/>
      <c r="G335" s="9"/>
      <c r="H335" s="9"/>
    </row>
    <row r="336" spans="1:8" ht="15.75" thickBot="1">
      <c r="A336" s="9"/>
      <c r="B336" s="9"/>
      <c r="G336" s="9"/>
      <c r="H336" s="9"/>
    </row>
    <row r="337" spans="1:8" ht="15.75" thickBot="1">
      <c r="A337" s="9"/>
      <c r="B337" s="9"/>
      <c r="G337" s="9"/>
      <c r="H337" s="9"/>
    </row>
    <row r="338" spans="1:8" ht="15.75" thickBot="1">
      <c r="A338" s="9"/>
      <c r="B338" s="9"/>
      <c r="G338" s="9"/>
      <c r="H338" s="9"/>
    </row>
    <row r="339" spans="1:8" ht="15.75" thickBot="1">
      <c r="A339" s="9"/>
      <c r="B339" s="9"/>
      <c r="G339" s="9"/>
      <c r="H339" s="9"/>
    </row>
    <row r="340" spans="1:8" ht="15.75" thickBot="1">
      <c r="A340" s="9"/>
      <c r="B340" s="9"/>
      <c r="G340" s="9"/>
      <c r="H340" s="9"/>
    </row>
    <row r="341" spans="1:8" ht="15.75" thickBot="1">
      <c r="A341" s="9"/>
      <c r="B341" s="9"/>
      <c r="G341" s="9"/>
      <c r="H341" s="9"/>
    </row>
    <row r="342" spans="1:8" ht="15.75" thickBot="1">
      <c r="A342" s="9"/>
      <c r="B342" s="9"/>
      <c r="G342" s="9"/>
      <c r="H342" s="9"/>
    </row>
    <row r="343" spans="1:8" ht="15.75" thickBot="1">
      <c r="A343" s="9"/>
      <c r="B343" s="9"/>
      <c r="G343" s="9"/>
      <c r="H343" s="9"/>
    </row>
    <row r="344" spans="1:8" ht="15.75" thickBot="1">
      <c r="A344" s="9"/>
      <c r="B344" s="9"/>
      <c r="G344" s="9"/>
      <c r="H344" s="9"/>
    </row>
    <row r="345" spans="1:8" ht="15.75" thickBot="1">
      <c r="A345" s="9"/>
      <c r="B345" s="9"/>
      <c r="G345" s="9"/>
      <c r="H345" s="9"/>
    </row>
    <row r="346" spans="1:8" ht="15.75" thickBot="1">
      <c r="A346" s="9"/>
      <c r="B346" s="9"/>
      <c r="G346" s="9"/>
      <c r="H346" s="9"/>
    </row>
    <row r="347" spans="1:8" ht="15.75" thickBot="1">
      <c r="A347" s="9"/>
      <c r="B347" s="9"/>
      <c r="G347" s="9"/>
      <c r="H347" s="9"/>
    </row>
    <row r="348" spans="1:8" ht="15.75" thickBot="1">
      <c r="A348" s="9"/>
      <c r="B348" s="9"/>
      <c r="G348" s="9"/>
      <c r="H348" s="9"/>
    </row>
    <row r="349" spans="1:8" ht="15.75" thickBot="1">
      <c r="A349" s="9"/>
      <c r="B349" s="9"/>
      <c r="G349" s="9"/>
      <c r="H349" s="9"/>
    </row>
    <row r="350" spans="1:8" ht="15.75" thickBot="1">
      <c r="A350" s="9"/>
      <c r="B350" s="9"/>
      <c r="G350" s="9"/>
      <c r="H350" s="9"/>
    </row>
    <row r="351" spans="1:8" ht="15.75" thickBot="1">
      <c r="A351" s="9"/>
      <c r="B351" s="9"/>
      <c r="G351" s="9"/>
      <c r="H351" s="9"/>
    </row>
    <row r="352" spans="1:8" ht="15.75" thickBot="1">
      <c r="A352" s="9"/>
      <c r="B352" s="9"/>
      <c r="G352" s="9"/>
      <c r="H352" s="9"/>
    </row>
    <row r="353" spans="1:8" ht="15.75" thickBot="1">
      <c r="A353" s="9"/>
      <c r="B353" s="9"/>
      <c r="G353" s="9"/>
      <c r="H353" s="9"/>
    </row>
    <row r="354" spans="1:8" ht="15.75" thickBot="1">
      <c r="A354" s="9"/>
      <c r="B354" s="9"/>
      <c r="G354" s="9"/>
      <c r="H354" s="9"/>
    </row>
    <row r="355" spans="1:8" ht="15.75" thickBot="1">
      <c r="A355" s="9"/>
      <c r="B355" s="9"/>
      <c r="G355" s="9"/>
      <c r="H355" s="9"/>
    </row>
    <row r="356" spans="1:8" ht="15.75" thickBot="1">
      <c r="A356" s="9"/>
      <c r="B356" s="9"/>
      <c r="G356" s="9"/>
      <c r="H356" s="9"/>
    </row>
    <row r="357" spans="1:8" ht="15.75" thickBot="1">
      <c r="A357" s="9"/>
      <c r="B357" s="9"/>
      <c r="G357" s="9"/>
      <c r="H357" s="9"/>
    </row>
    <row r="358" spans="1:8" ht="15.75" thickBot="1">
      <c r="A358" s="9"/>
      <c r="B358" s="9"/>
      <c r="G358" s="9"/>
      <c r="H358" s="9"/>
    </row>
    <row r="359" spans="1:8" ht="15.75" thickBot="1">
      <c r="A359" s="9"/>
      <c r="B359" s="9"/>
      <c r="G359" s="9"/>
      <c r="H359" s="9"/>
    </row>
    <row r="360" spans="1:8" ht="15.75" thickBot="1">
      <c r="A360" s="9"/>
      <c r="B360" s="9"/>
      <c r="G360" s="9"/>
      <c r="H360" s="9"/>
    </row>
    <row r="361" spans="1:8" ht="15.75" thickBot="1">
      <c r="A361" s="9"/>
      <c r="B361" s="9"/>
      <c r="G361" s="9"/>
      <c r="H361" s="9"/>
    </row>
    <row r="362" spans="1:8" ht="15.75" thickBot="1">
      <c r="A362" s="9"/>
      <c r="B362" s="9"/>
      <c r="G362" s="9"/>
      <c r="H362" s="9"/>
    </row>
    <row r="363" spans="1:8" ht="15.75" thickBot="1">
      <c r="A363" s="9"/>
      <c r="B363" s="9"/>
      <c r="G363" s="9"/>
      <c r="H363" s="9"/>
    </row>
    <row r="364" spans="1:8" ht="15.75" thickBot="1">
      <c r="A364" s="9"/>
      <c r="B364" s="9"/>
      <c r="G364" s="9"/>
      <c r="H364" s="9"/>
    </row>
    <row r="365" spans="1:8" ht="15.75" thickBot="1">
      <c r="A365" s="9"/>
      <c r="B365" s="9"/>
      <c r="G365" s="9"/>
      <c r="H365" s="9"/>
    </row>
    <row r="366" spans="1:8" ht="15.75" thickBot="1">
      <c r="A366" s="9"/>
      <c r="B366" s="9"/>
      <c r="G366" s="9"/>
      <c r="H366" s="9"/>
    </row>
    <row r="367" spans="1:8" ht="15.75" thickBot="1">
      <c r="A367" s="9"/>
      <c r="B367" s="9"/>
      <c r="G367" s="9"/>
      <c r="H367" s="9"/>
    </row>
    <row r="368" spans="1:8" ht="15.75" thickBot="1">
      <c r="A368" s="9"/>
      <c r="B368" s="9"/>
      <c r="G368" s="9"/>
      <c r="H368" s="9"/>
    </row>
    <row r="369" spans="1:8" ht="15.75" thickBot="1">
      <c r="A369" s="9"/>
      <c r="B369" s="9"/>
      <c r="G369" s="9"/>
      <c r="H369" s="9"/>
    </row>
    <row r="370" spans="1:8" ht="15.75" thickBot="1">
      <c r="A370" s="9"/>
      <c r="B370" s="9"/>
      <c r="G370" s="9"/>
      <c r="H370" s="9"/>
    </row>
    <row r="371" spans="1:8" ht="15.75" thickBot="1">
      <c r="A371" s="9"/>
      <c r="B371" s="9"/>
      <c r="G371" s="9"/>
      <c r="H371" s="9"/>
    </row>
    <row r="372" spans="1:8" ht="15.75" thickBot="1">
      <c r="A372" s="9"/>
      <c r="B372" s="9"/>
      <c r="G372" s="9"/>
      <c r="H372" s="9"/>
    </row>
    <row r="373" spans="1:8" ht="15.75" thickBot="1">
      <c r="A373" s="9"/>
      <c r="B373" s="9"/>
      <c r="G373" s="9"/>
      <c r="H373" s="9"/>
    </row>
    <row r="374" spans="1:8" ht="15.75" thickBot="1">
      <c r="A374" s="9"/>
      <c r="B374" s="9"/>
      <c r="G374" s="9"/>
      <c r="H374" s="9"/>
    </row>
    <row r="375" spans="1:8" ht="15.75" thickBot="1">
      <c r="A375" s="9"/>
      <c r="B375" s="9"/>
      <c r="G375" s="9"/>
      <c r="H375" s="9"/>
    </row>
    <row r="376" spans="1:8" ht="15.75" thickBot="1">
      <c r="A376" s="9"/>
      <c r="B376" s="9"/>
      <c r="G376" s="9"/>
      <c r="H376" s="9"/>
    </row>
    <row r="377" spans="1:8" ht="15.75" thickBot="1">
      <c r="A377" s="9"/>
      <c r="B377" s="9"/>
      <c r="G377" s="9"/>
      <c r="H377" s="9"/>
    </row>
    <row r="378" spans="1:8" ht="15.75" thickBot="1">
      <c r="A378" s="9"/>
      <c r="B378" s="9"/>
      <c r="G378" s="9"/>
      <c r="H378" s="9"/>
    </row>
    <row r="379" spans="1:8" ht="15.75" thickBot="1">
      <c r="A379" s="9"/>
      <c r="B379" s="9"/>
      <c r="G379" s="9"/>
      <c r="H379" s="9"/>
    </row>
    <row r="380" spans="1:8" ht="15.75" thickBot="1">
      <c r="A380" s="9"/>
      <c r="B380" s="9"/>
      <c r="G380" s="9"/>
      <c r="H380" s="9"/>
    </row>
    <row r="381" spans="1:8" ht="15.75" thickBot="1">
      <c r="A381" s="9"/>
      <c r="B381" s="9"/>
      <c r="G381" s="9"/>
      <c r="H381" s="9"/>
    </row>
    <row r="382" spans="1:8" ht="15.75" thickBot="1">
      <c r="A382" s="9"/>
      <c r="B382" s="9"/>
      <c r="G382" s="9"/>
      <c r="H382" s="9"/>
    </row>
    <row r="383" spans="1:8" ht="15.75" thickBot="1">
      <c r="A383" s="9"/>
      <c r="B383" s="9"/>
      <c r="G383" s="9"/>
      <c r="H383" s="9"/>
    </row>
    <row r="384" spans="1:8" ht="15.75" thickBot="1">
      <c r="A384" s="9"/>
      <c r="B384" s="9"/>
      <c r="G384" s="9"/>
      <c r="H384" s="9"/>
    </row>
    <row r="385" spans="1:8" ht="15.75" thickBot="1">
      <c r="A385" s="9"/>
      <c r="B385" s="9"/>
      <c r="G385" s="9"/>
      <c r="H385" s="9"/>
    </row>
    <row r="386" spans="1:8" ht="15.75" thickBot="1">
      <c r="A386" s="9"/>
      <c r="B386" s="9"/>
      <c r="G386" s="9"/>
      <c r="H386" s="9"/>
    </row>
    <row r="387" spans="1:8" ht="15.75" thickBot="1">
      <c r="A387" s="9"/>
      <c r="B387" s="9"/>
      <c r="G387" s="9"/>
      <c r="H387" s="9"/>
    </row>
    <row r="388" spans="1:8" ht="15.75" thickBot="1">
      <c r="A388" s="9"/>
      <c r="B388" s="9"/>
      <c r="G388" s="9"/>
      <c r="H388" s="9"/>
    </row>
    <row r="389" spans="1:8" ht="15.75" thickBot="1">
      <c r="A389" s="9"/>
      <c r="B389" s="9"/>
      <c r="G389" s="9"/>
      <c r="H389" s="9"/>
    </row>
    <row r="390" spans="1:8" ht="15.75" thickBot="1">
      <c r="A390" s="9"/>
      <c r="B390" s="9"/>
      <c r="G390" s="9"/>
      <c r="H390" s="9"/>
    </row>
    <row r="391" spans="1:8" ht="15.75" thickBot="1">
      <c r="A391" s="9"/>
      <c r="B391" s="9"/>
      <c r="G391" s="9"/>
      <c r="H391" s="9"/>
    </row>
    <row r="392" spans="1:8" ht="15.75" thickBot="1">
      <c r="A392" s="9"/>
      <c r="B392" s="9"/>
      <c r="G392" s="9"/>
      <c r="H392" s="9"/>
    </row>
    <row r="393" spans="1:8" ht="15.75" thickBot="1">
      <c r="A393" s="9"/>
      <c r="B393" s="9"/>
      <c r="G393" s="9"/>
      <c r="H393" s="9"/>
    </row>
    <row r="394" spans="1:8" ht="15.75" thickBot="1">
      <c r="A394" s="9"/>
      <c r="B394" s="9"/>
      <c r="G394" s="9"/>
      <c r="H394" s="9"/>
    </row>
    <row r="395" spans="1:8" ht="15.75" thickBot="1">
      <c r="A395" s="9"/>
      <c r="B395" s="9"/>
      <c r="G395" s="9"/>
      <c r="H395" s="9"/>
    </row>
    <row r="396" spans="1:8" ht="15.75" thickBot="1">
      <c r="A396" s="9"/>
      <c r="B396" s="9"/>
      <c r="G396" s="9"/>
      <c r="H396" s="9"/>
    </row>
    <row r="397" spans="1:8" ht="15.75" thickBot="1">
      <c r="A397" s="9"/>
      <c r="B397" s="9"/>
      <c r="G397" s="9"/>
      <c r="H397" s="9"/>
    </row>
    <row r="398" spans="1:8" ht="15.75" thickBot="1">
      <c r="A398" s="9"/>
      <c r="B398" s="9"/>
      <c r="G398" s="9"/>
      <c r="H398" s="9"/>
    </row>
    <row r="399" spans="1:8" ht="15.75" thickBot="1">
      <c r="A399" s="9"/>
      <c r="B399" s="9"/>
      <c r="G399" s="9"/>
      <c r="H399" s="9"/>
    </row>
    <row r="400" spans="1:8" ht="15.75" thickBot="1">
      <c r="A400" s="9"/>
      <c r="B400" s="9"/>
      <c r="G400" s="9"/>
      <c r="H400" s="9"/>
    </row>
    <row r="401" spans="1:8" ht="15.75" thickBot="1">
      <c r="A401" s="9"/>
      <c r="B401" s="9"/>
      <c r="G401" s="9"/>
      <c r="H401" s="9"/>
    </row>
    <row r="402" spans="1:8" ht="15.75" thickBot="1">
      <c r="A402" s="9"/>
      <c r="B402" s="9"/>
      <c r="G402" s="9"/>
      <c r="H402" s="9"/>
    </row>
    <row r="403" spans="1:8" ht="15.75" thickBot="1">
      <c r="A403" s="9"/>
      <c r="B403" s="9"/>
      <c r="G403" s="9"/>
      <c r="H403" s="9"/>
    </row>
    <row r="404" spans="1:8" ht="15.75" thickBot="1">
      <c r="A404" s="9"/>
      <c r="B404" s="9"/>
      <c r="G404" s="9"/>
      <c r="H404" s="9"/>
    </row>
    <row r="405" spans="1:8" ht="15.75" thickBot="1">
      <c r="A405" s="9"/>
      <c r="B405" s="9"/>
      <c r="G405" s="9"/>
      <c r="H405" s="9"/>
    </row>
    <row r="406" spans="1:8" ht="15.75" thickBot="1">
      <c r="A406" s="9"/>
      <c r="B406" s="9"/>
      <c r="G406" s="9"/>
      <c r="H406" s="9"/>
    </row>
    <row r="407" spans="1:8" ht="15.75" thickBot="1">
      <c r="A407" s="9"/>
      <c r="B407" s="9"/>
      <c r="G407" s="9"/>
      <c r="H407" s="9"/>
    </row>
    <row r="408" spans="1:8" ht="15.75" thickBot="1">
      <c r="A408" s="9"/>
      <c r="B408" s="9"/>
      <c r="G408" s="9"/>
      <c r="H408" s="9"/>
    </row>
    <row r="409" spans="1:8" ht="15.75" thickBot="1">
      <c r="A409" s="9"/>
      <c r="B409" s="9"/>
      <c r="G409" s="9"/>
      <c r="H409" s="9"/>
    </row>
    <row r="410" spans="1:8" ht="15.75" thickBot="1">
      <c r="A410" s="9"/>
      <c r="B410" s="9"/>
      <c r="G410" s="9"/>
      <c r="H410" s="9"/>
    </row>
    <row r="411" spans="1:8" ht="15.75" thickBot="1">
      <c r="A411" s="9"/>
      <c r="B411" s="9"/>
      <c r="G411" s="9"/>
      <c r="H411" s="9"/>
    </row>
    <row r="412" spans="1:8" ht="15.75" thickBot="1">
      <c r="A412" s="9"/>
      <c r="B412" s="9"/>
      <c r="G412" s="9"/>
      <c r="H412" s="9"/>
    </row>
    <row r="413" spans="1:8" ht="15.75" thickBot="1">
      <c r="A413" s="9"/>
      <c r="B413" s="9"/>
      <c r="G413" s="9"/>
      <c r="H413" s="9"/>
    </row>
    <row r="414" spans="1:8" ht="15.75" thickBot="1">
      <c r="A414" s="9"/>
      <c r="B414" s="9"/>
      <c r="G414" s="9"/>
      <c r="H414" s="9"/>
    </row>
    <row r="415" spans="1:8" ht="15.75" thickBot="1">
      <c r="A415" s="9"/>
      <c r="B415" s="9"/>
      <c r="G415" s="9"/>
      <c r="H415" s="9"/>
    </row>
    <row r="416" spans="1:8" ht="15.75" thickBot="1">
      <c r="A416" s="9"/>
      <c r="B416" s="9"/>
      <c r="G416" s="9"/>
      <c r="H416" s="9"/>
    </row>
    <row r="417" spans="1:8" ht="15.75" thickBot="1">
      <c r="A417" s="9"/>
      <c r="B417" s="9"/>
      <c r="G417" s="9"/>
      <c r="H417" s="9"/>
    </row>
    <row r="418" spans="1:8" ht="15.75" thickBot="1">
      <c r="A418" s="9"/>
      <c r="B418" s="9"/>
      <c r="G418" s="9"/>
      <c r="H418" s="9"/>
    </row>
    <row r="419" spans="1:8" ht="15.75" thickBot="1">
      <c r="A419" s="9"/>
      <c r="B419" s="9"/>
      <c r="G419" s="9"/>
      <c r="H419" s="9"/>
    </row>
    <row r="420" spans="1:8" ht="15.75" thickBot="1">
      <c r="A420" s="9"/>
      <c r="B420" s="9"/>
      <c r="G420" s="9"/>
      <c r="H420" s="9"/>
    </row>
    <row r="421" spans="1:8" ht="15.75" thickBot="1">
      <c r="A421" s="9"/>
      <c r="B421" s="9"/>
      <c r="G421" s="9"/>
      <c r="H421" s="9"/>
    </row>
    <row r="422" spans="1:8" ht="15.75" thickBot="1">
      <c r="A422" s="9"/>
      <c r="B422" s="9"/>
      <c r="G422" s="9"/>
      <c r="H422" s="9"/>
    </row>
    <row r="423" spans="1:8" ht="15.75" thickBot="1">
      <c r="A423" s="9"/>
      <c r="B423" s="9"/>
      <c r="G423" s="9"/>
      <c r="H423" s="9"/>
    </row>
    <row r="424" spans="1:8" ht="15.75" thickBot="1">
      <c r="A424" s="9"/>
      <c r="B424" s="9"/>
      <c r="G424" s="9"/>
      <c r="H424" s="9"/>
    </row>
    <row r="425" spans="1:8" ht="15.75" thickBot="1">
      <c r="A425" s="9"/>
      <c r="B425" s="9"/>
      <c r="G425" s="9"/>
      <c r="H425" s="9"/>
    </row>
    <row r="426" spans="1:8" ht="15.75" thickBot="1">
      <c r="A426" s="9"/>
      <c r="B426" s="9"/>
      <c r="G426" s="9"/>
      <c r="H426" s="9"/>
    </row>
    <row r="427" spans="1:8" ht="15.75" thickBot="1">
      <c r="A427" s="9"/>
      <c r="B427" s="9"/>
      <c r="G427" s="9"/>
      <c r="H427" s="9"/>
    </row>
    <row r="428" spans="1:8" ht="15.75" thickBot="1">
      <c r="A428" s="9"/>
      <c r="B428" s="9"/>
      <c r="G428" s="9"/>
      <c r="H428" s="9"/>
    </row>
    <row r="429" spans="1:8" ht="15.75" thickBot="1">
      <c r="A429" s="9"/>
      <c r="B429" s="9"/>
      <c r="G429" s="9"/>
      <c r="H429" s="9"/>
    </row>
    <row r="430" spans="1:8" ht="15.75" thickBot="1">
      <c r="A430" s="9"/>
      <c r="B430" s="9"/>
      <c r="G430" s="9"/>
      <c r="H430" s="9"/>
    </row>
    <row r="431" spans="1:8" ht="15.75" thickBot="1">
      <c r="A431" s="9"/>
      <c r="B431" s="9"/>
      <c r="G431" s="9"/>
      <c r="H431" s="9"/>
    </row>
    <row r="432" spans="1:8" ht="15.75" thickBot="1">
      <c r="A432" s="9"/>
      <c r="B432" s="9"/>
      <c r="G432" s="9"/>
      <c r="H432" s="9"/>
    </row>
    <row r="433" spans="1:8" ht="15.75" thickBot="1">
      <c r="A433" s="9"/>
      <c r="B433" s="9"/>
      <c r="G433" s="9"/>
      <c r="H433" s="9"/>
    </row>
    <row r="434" spans="1:8" ht="15.75" thickBot="1">
      <c r="A434" s="9"/>
      <c r="B434" s="9"/>
      <c r="G434" s="9"/>
      <c r="H434" s="9"/>
    </row>
    <row r="435" spans="1:8" ht="15.75" thickBot="1">
      <c r="A435" s="9"/>
      <c r="B435" s="9"/>
      <c r="G435" s="9"/>
      <c r="H435" s="9"/>
    </row>
    <row r="436" spans="1:8" ht="15.75" thickBot="1">
      <c r="A436" s="9"/>
      <c r="B436" s="9"/>
      <c r="G436" s="9"/>
      <c r="H436" s="9"/>
    </row>
    <row r="437" spans="1:8" ht="15.75" thickBot="1">
      <c r="A437" s="9"/>
      <c r="B437" s="9"/>
      <c r="G437" s="9"/>
      <c r="H437" s="9"/>
    </row>
    <row r="438" spans="1:8" ht="15.75" thickBot="1">
      <c r="A438" s="9"/>
      <c r="B438" s="9"/>
      <c r="G438" s="9"/>
      <c r="H438" s="9"/>
    </row>
    <row r="439" spans="1:8" ht="15.75" thickBot="1">
      <c r="A439" s="9"/>
      <c r="B439" s="9"/>
      <c r="G439" s="9"/>
      <c r="H439" s="9"/>
    </row>
    <row r="440" spans="1:8" ht="15.75" thickBot="1">
      <c r="A440" s="9"/>
      <c r="B440" s="9"/>
      <c r="G440" s="9"/>
      <c r="H440" s="9"/>
    </row>
    <row r="441" spans="1:8" ht="15.75" thickBot="1">
      <c r="A441" s="9"/>
      <c r="B441" s="9"/>
      <c r="G441" s="9"/>
      <c r="H441" s="9"/>
    </row>
    <row r="442" spans="1:8" ht="15.75" thickBot="1">
      <c r="A442" s="9"/>
      <c r="B442" s="9"/>
      <c r="G442" s="9"/>
      <c r="H442" s="9"/>
    </row>
    <row r="443" spans="1:8" ht="15.75" thickBot="1">
      <c r="A443" s="9"/>
      <c r="B443" s="9"/>
      <c r="G443" s="9"/>
      <c r="H443" s="9"/>
    </row>
    <row r="444" spans="1:8" ht="15.75" thickBot="1">
      <c r="A444" s="9"/>
      <c r="B444" s="9"/>
      <c r="G444" s="9"/>
      <c r="H444" s="9"/>
    </row>
    <row r="445" spans="1:8" ht="15.75" thickBot="1">
      <c r="A445" s="9"/>
      <c r="B445" s="9"/>
      <c r="G445" s="9"/>
      <c r="H445" s="9"/>
    </row>
    <row r="446" spans="1:8" ht="15.75" thickBot="1">
      <c r="A446" s="9"/>
      <c r="B446" s="9"/>
      <c r="G446" s="9"/>
      <c r="H446" s="9"/>
    </row>
    <row r="447" spans="1:8" ht="15.75" thickBot="1">
      <c r="A447" s="9"/>
      <c r="B447" s="9"/>
      <c r="G447" s="9"/>
      <c r="H447" s="9"/>
    </row>
    <row r="448" spans="1:8" ht="15.75" thickBot="1">
      <c r="A448" s="9"/>
      <c r="B448" s="9"/>
      <c r="G448" s="9"/>
      <c r="H448" s="9"/>
    </row>
    <row r="449" spans="1:8" ht="15.75" thickBot="1">
      <c r="A449" s="9"/>
      <c r="B449" s="9"/>
      <c r="G449" s="9"/>
      <c r="H449" s="9"/>
    </row>
    <row r="450" spans="1:8" ht="15.75" thickBot="1">
      <c r="A450" s="9"/>
      <c r="B450" s="9"/>
      <c r="G450" s="9"/>
      <c r="H450" s="9"/>
    </row>
    <row r="451" spans="1:8" ht="15.75" thickBot="1">
      <c r="A451" s="9"/>
      <c r="B451" s="9"/>
      <c r="G451" s="9"/>
      <c r="H451" s="9"/>
    </row>
    <row r="452" spans="1:8" ht="15.75" thickBot="1">
      <c r="A452" s="9"/>
      <c r="B452" s="9"/>
      <c r="G452" s="9"/>
      <c r="H452" s="9"/>
    </row>
    <row r="453" spans="1:8" ht="15.75" thickBot="1">
      <c r="A453" s="9"/>
      <c r="B453" s="9"/>
      <c r="G453" s="9"/>
      <c r="H453" s="9"/>
    </row>
    <row r="454" spans="1:8" ht="15.75" thickBot="1">
      <c r="A454" s="9"/>
      <c r="B454" s="9"/>
      <c r="G454" s="9"/>
      <c r="H454" s="9"/>
    </row>
    <row r="455" spans="1:8" ht="15.75" thickBot="1">
      <c r="A455" s="9"/>
      <c r="B455" s="9"/>
      <c r="G455" s="9"/>
      <c r="H455" s="9"/>
    </row>
    <row r="456" spans="1:8" ht="15.75" thickBot="1">
      <c r="A456" s="9"/>
      <c r="B456" s="9"/>
      <c r="G456" s="9"/>
      <c r="H456" s="9"/>
    </row>
    <row r="457" spans="1:8" ht="15.75" thickBot="1">
      <c r="A457" s="9"/>
      <c r="B457" s="9"/>
      <c r="G457" s="9"/>
      <c r="H457" s="9"/>
    </row>
    <row r="458" spans="1:8" ht="15.75" thickBot="1">
      <c r="A458" s="9"/>
      <c r="B458" s="9"/>
      <c r="G458" s="9"/>
      <c r="H458" s="9"/>
    </row>
    <row r="459" spans="1:8" ht="15.75" thickBot="1">
      <c r="A459" s="9"/>
      <c r="B459" s="9"/>
      <c r="G459" s="9"/>
      <c r="H459" s="9"/>
    </row>
    <row r="460" spans="1:8" ht="15.75" thickBot="1">
      <c r="A460" s="9"/>
      <c r="B460" s="9"/>
      <c r="G460" s="9"/>
      <c r="H460" s="9"/>
    </row>
    <row r="461" spans="1:8" ht="15.75" thickBot="1">
      <c r="A461" s="9"/>
      <c r="B461" s="9"/>
      <c r="G461" s="9"/>
      <c r="H461" s="9"/>
    </row>
    <row r="462" spans="1:8" ht="15.75" thickBot="1">
      <c r="A462" s="9"/>
      <c r="B462" s="9"/>
      <c r="G462" s="9"/>
      <c r="H462" s="9"/>
    </row>
    <row r="463" spans="1:8" ht="15.75" thickBot="1">
      <c r="A463" s="9"/>
      <c r="B463" s="9"/>
      <c r="G463" s="9"/>
      <c r="H463" s="9"/>
    </row>
    <row r="464" spans="1:8" ht="15.75" thickBot="1">
      <c r="A464" s="9"/>
      <c r="B464" s="9"/>
      <c r="G464" s="9"/>
      <c r="H464" s="9"/>
    </row>
    <row r="465" spans="1:8" ht="15.75" thickBot="1">
      <c r="A465" s="9"/>
      <c r="B465" s="9"/>
      <c r="G465" s="9"/>
      <c r="H465" s="9"/>
    </row>
    <row r="466" spans="1:8" ht="15.75" thickBot="1">
      <c r="A466" s="9"/>
      <c r="B466" s="9"/>
      <c r="G466" s="9"/>
      <c r="H466" s="9"/>
    </row>
    <row r="467" spans="1:8" ht="15.75" thickBot="1">
      <c r="A467" s="9"/>
      <c r="B467" s="9"/>
      <c r="G467" s="9"/>
      <c r="H467" s="9"/>
    </row>
    <row r="468" spans="1:8" ht="15.75" thickBot="1">
      <c r="A468" s="9"/>
      <c r="B468" s="9"/>
      <c r="G468" s="9"/>
      <c r="H468" s="9"/>
    </row>
    <row r="469" spans="1:8" ht="15.75" thickBot="1">
      <c r="A469" s="9"/>
      <c r="B469" s="9"/>
      <c r="G469" s="9"/>
      <c r="H469" s="9"/>
    </row>
    <row r="470" spans="1:8" ht="15.75" thickBot="1">
      <c r="A470" s="9"/>
      <c r="B470" s="9"/>
      <c r="G470" s="9"/>
      <c r="H470" s="9"/>
    </row>
    <row r="471" spans="1:8" ht="15.75" thickBot="1">
      <c r="A471" s="9"/>
      <c r="B471" s="9"/>
      <c r="G471" s="9"/>
      <c r="H471" s="9"/>
    </row>
    <row r="472" spans="1:8" ht="15.75" thickBot="1">
      <c r="A472" s="9"/>
      <c r="B472" s="9"/>
      <c r="G472" s="9"/>
      <c r="H472" s="9"/>
    </row>
    <row r="473" spans="1:8" ht="15.75" thickBot="1">
      <c r="A473" s="9"/>
      <c r="B473" s="9"/>
      <c r="G473" s="9"/>
      <c r="H473" s="9"/>
    </row>
    <row r="474" spans="1:8" ht="15.75" thickBot="1">
      <c r="A474" s="9"/>
      <c r="B474" s="9"/>
      <c r="G474" s="9"/>
      <c r="H474" s="9"/>
    </row>
    <row r="475" spans="1:8" ht="15.75" thickBot="1">
      <c r="A475" s="9"/>
      <c r="B475" s="9"/>
      <c r="G475" s="9"/>
      <c r="H475" s="9"/>
    </row>
    <row r="476" spans="1:8" ht="15.75" thickBot="1">
      <c r="A476" s="9"/>
      <c r="B476" s="9"/>
      <c r="G476" s="9"/>
      <c r="H476" s="9"/>
    </row>
    <row r="477" spans="1:8" ht="15.75" thickBot="1">
      <c r="A477" s="9"/>
      <c r="B477" s="9"/>
      <c r="G477" s="9"/>
      <c r="H477" s="9"/>
    </row>
    <row r="478" spans="1:8" ht="15.75" thickBot="1">
      <c r="A478" s="9"/>
      <c r="B478" s="9"/>
      <c r="G478" s="9"/>
      <c r="H478" s="9"/>
    </row>
    <row r="479" spans="1:8" ht="15.75" thickBot="1">
      <c r="A479" s="9"/>
      <c r="B479" s="9"/>
      <c r="G479" s="9"/>
      <c r="H479" s="9"/>
    </row>
    <row r="480" spans="1:8" ht="15.75" thickBot="1">
      <c r="A480" s="9"/>
      <c r="B480" s="9"/>
      <c r="G480" s="9"/>
      <c r="H480" s="9"/>
    </row>
    <row r="481" spans="1:8" ht="15.75" thickBot="1">
      <c r="A481" s="9"/>
      <c r="B481" s="9"/>
      <c r="G481" s="9"/>
      <c r="H481" s="9"/>
    </row>
    <row r="482" spans="1:8" ht="15.75" thickBot="1">
      <c r="A482" s="9"/>
      <c r="B482" s="9"/>
      <c r="G482" s="9"/>
      <c r="H482" s="9"/>
    </row>
    <row r="483" spans="1:8" ht="15.75" thickBot="1">
      <c r="A483" s="9"/>
      <c r="B483" s="9"/>
      <c r="G483" s="9"/>
      <c r="H483" s="9"/>
    </row>
    <row r="484" spans="1:8" ht="15.75" thickBot="1">
      <c r="A484" s="9"/>
      <c r="B484" s="9"/>
      <c r="G484" s="9"/>
      <c r="H484" s="9"/>
    </row>
    <row r="485" spans="1:8" ht="15.75" thickBot="1">
      <c r="A485" s="9"/>
      <c r="B485" s="9"/>
      <c r="G485" s="9"/>
      <c r="H485" s="9"/>
    </row>
    <row r="486" spans="1:8" ht="15.75" thickBot="1">
      <c r="A486" s="9"/>
      <c r="B486" s="9"/>
      <c r="G486" s="9"/>
      <c r="H486" s="9"/>
    </row>
    <row r="487" spans="1:8" ht="15.75" thickBot="1">
      <c r="A487" s="9"/>
      <c r="B487" s="9"/>
      <c r="G487" s="9"/>
      <c r="H487" s="9"/>
    </row>
    <row r="488" spans="1:8" ht="15.75" thickBot="1">
      <c r="A488" s="9"/>
      <c r="B488" s="9"/>
      <c r="G488" s="9"/>
      <c r="H488" s="9"/>
    </row>
    <row r="489" spans="1:8" ht="15.75" thickBot="1">
      <c r="A489" s="9"/>
      <c r="B489" s="9"/>
      <c r="G489" s="9"/>
      <c r="H489" s="9"/>
    </row>
    <row r="490" spans="1:8" ht="15.75" thickBot="1">
      <c r="A490" s="9"/>
      <c r="B490" s="9"/>
      <c r="G490" s="9"/>
      <c r="H490" s="9"/>
    </row>
    <row r="491" spans="1:8" ht="15.75" thickBot="1">
      <c r="A491" s="9"/>
      <c r="B491" s="9"/>
      <c r="G491" s="9"/>
      <c r="H491" s="9"/>
    </row>
    <row r="492" spans="1:8" ht="15.75" thickBot="1">
      <c r="A492" s="9"/>
      <c r="B492" s="9"/>
      <c r="G492" s="9"/>
      <c r="H492" s="9"/>
    </row>
    <row r="493" spans="1:8" ht="15.75" thickBot="1">
      <c r="A493" s="9"/>
      <c r="B493" s="9"/>
      <c r="G493" s="9"/>
      <c r="H493" s="9"/>
    </row>
    <row r="494" spans="1:8" ht="15.75" thickBot="1">
      <c r="A494" s="9"/>
      <c r="B494" s="9"/>
      <c r="G494" s="9"/>
      <c r="H494" s="9"/>
    </row>
    <row r="495" spans="1:8" ht="15.75" thickBot="1">
      <c r="A495" s="9"/>
      <c r="B495" s="9"/>
      <c r="G495" s="9"/>
      <c r="H495" s="9"/>
    </row>
    <row r="496" spans="1:8" ht="15.75" thickBot="1">
      <c r="A496" s="9"/>
      <c r="B496" s="9"/>
      <c r="G496" s="9"/>
      <c r="H496" s="9"/>
    </row>
    <row r="497" spans="1:8" ht="15.75" thickBot="1">
      <c r="A497" s="9"/>
      <c r="B497" s="9"/>
      <c r="G497" s="9"/>
      <c r="H497" s="9"/>
    </row>
    <row r="498" spans="1:8" ht="15.75" thickBot="1">
      <c r="A498" s="9"/>
      <c r="B498" s="9"/>
      <c r="G498" s="9"/>
      <c r="H498" s="9"/>
    </row>
    <row r="499" spans="1:8" ht="15.75" thickBot="1">
      <c r="A499" s="9"/>
      <c r="B499" s="9"/>
      <c r="G499" s="9"/>
      <c r="H499" s="9"/>
    </row>
    <row r="500" spans="1:8" ht="15.75" thickBot="1">
      <c r="A500" s="9"/>
      <c r="B500" s="9"/>
      <c r="G500" s="9"/>
      <c r="H500" s="9"/>
    </row>
    <row r="501" spans="1:8" ht="15.75" thickBot="1">
      <c r="A501" s="9"/>
      <c r="B501" s="9"/>
      <c r="G501" s="9"/>
      <c r="H501" s="9"/>
    </row>
    <row r="502" spans="1:8" ht="15.75" thickBot="1">
      <c r="A502" s="9"/>
      <c r="B502" s="9"/>
      <c r="G502" s="9"/>
      <c r="H502" s="9"/>
    </row>
    <row r="503" spans="1:8" ht="15.75" thickBot="1">
      <c r="A503" s="9"/>
      <c r="B503" s="9"/>
      <c r="G503" s="9"/>
      <c r="H503" s="9"/>
    </row>
    <row r="504" spans="1:8" ht="15.75" thickBot="1">
      <c r="A504" s="9"/>
      <c r="B504" s="9"/>
      <c r="G504" s="9"/>
      <c r="H504" s="9"/>
    </row>
    <row r="505" spans="1:8" ht="15.75" thickBot="1">
      <c r="A505" s="9"/>
      <c r="B505" s="9"/>
      <c r="G505" s="9"/>
      <c r="H505" s="9"/>
    </row>
    <row r="506" spans="1:8" ht="15.75" thickBot="1">
      <c r="A506" s="9"/>
      <c r="B506" s="9"/>
      <c r="G506" s="9"/>
      <c r="H506" s="9"/>
    </row>
    <row r="507" spans="1:8" ht="15.75" thickBot="1">
      <c r="A507" s="9"/>
      <c r="B507" s="9"/>
      <c r="G507" s="9"/>
      <c r="H507" s="9"/>
    </row>
    <row r="508" spans="1:8" ht="15.75" thickBot="1">
      <c r="A508" s="9"/>
      <c r="B508" s="9"/>
      <c r="G508" s="9"/>
      <c r="H508" s="9"/>
    </row>
    <row r="509" spans="1:8" ht="15.75" thickBot="1">
      <c r="A509" s="9"/>
      <c r="B509" s="9"/>
      <c r="G509" s="9"/>
      <c r="H509" s="9"/>
    </row>
    <row r="510" spans="1:8" ht="15.75" thickBot="1">
      <c r="A510" s="9"/>
      <c r="B510" s="9"/>
      <c r="G510" s="9"/>
      <c r="H510" s="9"/>
    </row>
    <row r="511" spans="1:8" ht="15.75" thickBot="1">
      <c r="A511" s="9"/>
      <c r="B511" s="9"/>
      <c r="G511" s="9"/>
      <c r="H511" s="9"/>
    </row>
    <row r="512" spans="1:8" ht="15.75" thickBot="1">
      <c r="A512" s="9"/>
      <c r="B512" s="9"/>
      <c r="G512" s="9"/>
      <c r="H512" s="9"/>
    </row>
    <row r="513" spans="1:8" ht="15.75" thickBot="1">
      <c r="A513" s="9"/>
      <c r="B513" s="9"/>
      <c r="G513" s="9"/>
      <c r="H513" s="9"/>
    </row>
    <row r="514" spans="1:8" ht="15.75" thickBot="1">
      <c r="A514" s="9"/>
      <c r="B514" s="9"/>
      <c r="G514" s="9"/>
      <c r="H514" s="9"/>
    </row>
    <row r="515" spans="1:8" ht="15.75" thickBot="1">
      <c r="A515" s="9"/>
      <c r="B515" s="9"/>
      <c r="G515" s="9"/>
      <c r="H515" s="9"/>
    </row>
    <row r="516" spans="1:8" ht="15.75" thickBot="1">
      <c r="A516" s="9"/>
      <c r="B516" s="9"/>
      <c r="G516" s="9"/>
      <c r="H516" s="9"/>
    </row>
    <row r="517" spans="1:8" ht="15.75" thickBot="1">
      <c r="A517" s="9"/>
      <c r="B517" s="9"/>
      <c r="G517" s="9"/>
      <c r="H517" s="9"/>
    </row>
    <row r="518" spans="1:8" ht="15.75" thickBot="1">
      <c r="A518" s="9"/>
      <c r="B518" s="9"/>
      <c r="G518" s="9"/>
      <c r="H518" s="9"/>
    </row>
    <row r="519" spans="1:8" ht="15.75" thickBot="1">
      <c r="A519" s="9"/>
      <c r="B519" s="9"/>
      <c r="G519" s="9"/>
      <c r="H519" s="9"/>
    </row>
    <row r="520" spans="1:8" ht="15.75" thickBot="1">
      <c r="A520" s="9"/>
      <c r="B520" s="9"/>
      <c r="G520" s="9"/>
      <c r="H520" s="9"/>
    </row>
    <row r="521" spans="1:8" ht="15.75" thickBot="1">
      <c r="A521" s="9"/>
      <c r="B521" s="9"/>
      <c r="G521" s="9"/>
      <c r="H521" s="9"/>
    </row>
    <row r="522" spans="1:8" ht="15.75" thickBot="1">
      <c r="A522" s="9"/>
      <c r="B522" s="9"/>
      <c r="G522" s="9"/>
      <c r="H522" s="9"/>
    </row>
    <row r="523" spans="1:8" ht="15.75" thickBot="1">
      <c r="A523" s="9"/>
      <c r="B523" s="9"/>
      <c r="G523" s="9"/>
      <c r="H523" s="9"/>
    </row>
    <row r="524" spans="1:8" ht="15.75" thickBot="1">
      <c r="A524" s="9"/>
      <c r="B524" s="9"/>
      <c r="G524" s="9"/>
      <c r="H524" s="9"/>
    </row>
    <row r="525" spans="1:8" ht="15.75" thickBot="1">
      <c r="A525" s="9"/>
      <c r="B525" s="9"/>
      <c r="G525" s="9"/>
      <c r="H525" s="9"/>
    </row>
    <row r="526" spans="1:8" ht="15.75" thickBot="1">
      <c r="A526" s="9"/>
      <c r="B526" s="9"/>
      <c r="G526" s="9"/>
      <c r="H526" s="9"/>
    </row>
    <row r="527" spans="1:8" ht="15.75" thickBot="1">
      <c r="A527" s="9"/>
      <c r="B527" s="9"/>
      <c r="G527" s="9"/>
      <c r="H527" s="9"/>
    </row>
    <row r="528" spans="1:8" ht="15.75" thickBot="1">
      <c r="A528" s="9"/>
      <c r="B528" s="9"/>
      <c r="G528" s="9"/>
      <c r="H528" s="9"/>
    </row>
    <row r="529" spans="1:8" ht="15.75" thickBot="1">
      <c r="A529" s="9"/>
      <c r="B529" s="9"/>
      <c r="G529" s="9"/>
      <c r="H529" s="9"/>
    </row>
    <row r="530" spans="1:8" ht="15.75" thickBot="1">
      <c r="A530" s="9"/>
      <c r="B530" s="9"/>
      <c r="G530" s="9"/>
      <c r="H530" s="9"/>
    </row>
    <row r="531" spans="1:8" ht="15.75" thickBot="1">
      <c r="A531" s="9"/>
      <c r="B531" s="9"/>
      <c r="G531" s="9"/>
      <c r="H531" s="9"/>
    </row>
    <row r="532" spans="1:8" ht="15.75" thickBot="1">
      <c r="A532" s="9"/>
      <c r="B532" s="9"/>
      <c r="G532" s="9"/>
      <c r="H532" s="9"/>
    </row>
    <row r="533" spans="1:8" ht="15.75" thickBot="1">
      <c r="A533" s="9"/>
      <c r="B533" s="9"/>
      <c r="G533" s="9"/>
      <c r="H533" s="9"/>
    </row>
    <row r="534" spans="1:8" ht="15.75" thickBot="1">
      <c r="A534" s="9"/>
      <c r="B534" s="9"/>
      <c r="G534" s="9"/>
      <c r="H534" s="9"/>
    </row>
    <row r="535" spans="1:8" ht="15.75" thickBot="1">
      <c r="A535" s="9"/>
      <c r="B535" s="9"/>
      <c r="G535" s="9"/>
      <c r="H535" s="9"/>
    </row>
    <row r="536" spans="1:8" ht="15.75" thickBot="1">
      <c r="A536" s="9"/>
      <c r="B536" s="9"/>
      <c r="G536" s="9"/>
      <c r="H536" s="9"/>
    </row>
    <row r="537" spans="1:8" ht="15.75" thickBot="1">
      <c r="A537" s="9"/>
      <c r="B537" s="9"/>
      <c r="G537" s="9"/>
      <c r="H537" s="9"/>
    </row>
    <row r="538" spans="1:8" ht="15.75" thickBot="1">
      <c r="A538" s="9"/>
      <c r="B538" s="9"/>
      <c r="G538" s="9"/>
      <c r="H538" s="9"/>
    </row>
    <row r="539" spans="1:8" ht="15.75" thickBot="1">
      <c r="A539" s="9"/>
      <c r="B539" s="9"/>
      <c r="G539" s="9"/>
      <c r="H539" s="9"/>
    </row>
    <row r="540" spans="1:8" ht="15.75" thickBot="1">
      <c r="A540" s="9"/>
      <c r="B540" s="9"/>
      <c r="G540" s="9"/>
      <c r="H540" s="9"/>
    </row>
    <row r="541" spans="1:8" ht="15.75" thickBot="1">
      <c r="A541" s="9"/>
      <c r="B541" s="9"/>
      <c r="G541" s="9"/>
      <c r="H541" s="9"/>
    </row>
    <row r="542" spans="1:8" ht="15.75" thickBot="1">
      <c r="A542" s="9"/>
      <c r="B542" s="9"/>
      <c r="G542" s="9"/>
      <c r="H542" s="9"/>
    </row>
    <row r="543" spans="1:8" ht="15.75" thickBot="1">
      <c r="A543" s="9"/>
      <c r="B543" s="9"/>
      <c r="G543" s="9"/>
      <c r="H543" s="9"/>
    </row>
    <row r="544" spans="1:8" ht="15.75" thickBot="1">
      <c r="A544" s="9"/>
      <c r="B544" s="9"/>
      <c r="G544" s="9"/>
      <c r="H544" s="9"/>
    </row>
    <row r="545" spans="1:8" ht="15.75" thickBot="1">
      <c r="A545" s="9"/>
      <c r="B545" s="9"/>
      <c r="G545" s="9"/>
      <c r="H545" s="9"/>
    </row>
    <row r="546" spans="1:8" ht="15.75" thickBot="1">
      <c r="A546" s="9"/>
      <c r="B546" s="9"/>
      <c r="G546" s="9"/>
      <c r="H546" s="9"/>
    </row>
    <row r="547" spans="1:8" ht="15.75" thickBot="1">
      <c r="A547" s="9"/>
      <c r="B547" s="9"/>
      <c r="G547" s="9"/>
      <c r="H547" s="9"/>
    </row>
    <row r="548" spans="1:8" ht="15.75" thickBot="1">
      <c r="A548" s="9"/>
      <c r="B548" s="9"/>
      <c r="G548" s="9"/>
      <c r="H548" s="9"/>
    </row>
    <row r="549" spans="1:8" ht="15.75" thickBot="1">
      <c r="A549" s="9"/>
      <c r="B549" s="9"/>
      <c r="G549" s="9"/>
      <c r="H549" s="9"/>
    </row>
    <row r="550" spans="1:8" ht="15.75" thickBot="1">
      <c r="A550" s="9"/>
      <c r="B550" s="9"/>
      <c r="G550" s="9"/>
      <c r="H550" s="9"/>
    </row>
    <row r="551" spans="1:8" ht="15.75" thickBot="1">
      <c r="A551" s="9"/>
      <c r="B551" s="9"/>
      <c r="G551" s="9"/>
      <c r="H551" s="9"/>
    </row>
    <row r="552" spans="1:8" ht="15.75" thickBot="1">
      <c r="A552" s="9"/>
      <c r="B552" s="9"/>
      <c r="G552" s="9"/>
      <c r="H552" s="9"/>
    </row>
    <row r="553" spans="1:8" ht="15.75" thickBot="1">
      <c r="A553" s="9"/>
      <c r="B553" s="9"/>
      <c r="G553" s="9"/>
      <c r="H553" s="9"/>
    </row>
    <row r="554" spans="1:8" ht="15.75" thickBot="1">
      <c r="A554" s="9"/>
      <c r="B554" s="9"/>
      <c r="G554" s="9"/>
      <c r="H554" s="9"/>
    </row>
    <row r="555" spans="1:8" ht="15.75" thickBot="1">
      <c r="A555" s="9"/>
      <c r="B555" s="9"/>
      <c r="G555" s="9"/>
      <c r="H555" s="9"/>
    </row>
    <row r="556" spans="1:8" ht="15.75" thickBot="1">
      <c r="A556" s="9"/>
      <c r="B556" s="9"/>
      <c r="G556" s="9"/>
      <c r="H556" s="9"/>
    </row>
    <row r="557" spans="1:8" ht="15.75" thickBot="1">
      <c r="A557" s="9"/>
      <c r="B557" s="9"/>
      <c r="G557" s="9"/>
      <c r="H557" s="9"/>
    </row>
    <row r="558" spans="1:8" ht="15.75" thickBot="1">
      <c r="A558" s="9"/>
      <c r="B558" s="9"/>
      <c r="G558" s="9"/>
      <c r="H558" s="9"/>
    </row>
    <row r="559" spans="1:8" ht="15.75" thickBot="1">
      <c r="A559" s="9"/>
      <c r="B559" s="9"/>
      <c r="G559" s="9"/>
      <c r="H559" s="9"/>
    </row>
    <row r="560" spans="1:8" ht="15.75" thickBot="1">
      <c r="A560" s="9"/>
      <c r="B560" s="9"/>
      <c r="G560" s="9"/>
      <c r="H560" s="9"/>
    </row>
    <row r="561" spans="1:8" ht="15.75" thickBot="1">
      <c r="A561" s="9"/>
      <c r="B561" s="9"/>
      <c r="G561" s="9"/>
      <c r="H561" s="9"/>
    </row>
    <row r="562" spans="1:8" ht="15.75" thickBot="1">
      <c r="A562" s="9"/>
      <c r="B562" s="9"/>
      <c r="G562" s="9"/>
      <c r="H562" s="9"/>
    </row>
    <row r="563" spans="1:8" ht="15.75" thickBot="1">
      <c r="A563" s="9"/>
      <c r="B563" s="9"/>
      <c r="G563" s="9"/>
      <c r="H563" s="9"/>
    </row>
    <row r="564" spans="1:8" ht="15.75" thickBot="1">
      <c r="A564" s="9"/>
      <c r="B564" s="9"/>
      <c r="G564" s="9"/>
      <c r="H564" s="9"/>
    </row>
    <row r="565" spans="1:8" ht="15.75" thickBot="1">
      <c r="A565" s="9"/>
      <c r="B565" s="9"/>
      <c r="G565" s="9"/>
      <c r="H565" s="9"/>
    </row>
    <row r="566" spans="1:8" ht="15.75" thickBot="1">
      <c r="A566" s="9"/>
      <c r="B566" s="9"/>
      <c r="G566" s="9"/>
      <c r="H566" s="9"/>
    </row>
    <row r="567" spans="1:8" ht="15.75" thickBot="1">
      <c r="A567" s="9"/>
      <c r="B567" s="9"/>
      <c r="G567" s="9"/>
      <c r="H567" s="9"/>
    </row>
    <row r="568" spans="1:8" ht="15.75" thickBot="1">
      <c r="A568" s="9"/>
      <c r="B568" s="9"/>
      <c r="G568" s="9"/>
      <c r="H568" s="9"/>
    </row>
    <row r="569" spans="1:8" ht="15.75" thickBot="1">
      <c r="A569" s="9"/>
      <c r="B569" s="9"/>
      <c r="G569" s="9"/>
      <c r="H569" s="9"/>
    </row>
    <row r="570" spans="1:8" ht="15.75" thickBot="1">
      <c r="A570" s="9"/>
      <c r="B570" s="9"/>
      <c r="G570" s="9"/>
      <c r="H570" s="9"/>
    </row>
    <row r="571" spans="1:8" ht="15.75" thickBot="1">
      <c r="A571" s="9"/>
      <c r="B571" s="9"/>
      <c r="G571" s="9"/>
      <c r="H571" s="9"/>
    </row>
    <row r="572" spans="1:8" ht="15.75" thickBot="1">
      <c r="A572" s="9"/>
      <c r="B572" s="9"/>
      <c r="G572" s="9"/>
      <c r="H572" s="9"/>
    </row>
    <row r="573" spans="1:8" ht="15.75" thickBot="1">
      <c r="A573" s="9"/>
      <c r="B573" s="9"/>
      <c r="G573" s="9"/>
      <c r="H573" s="9"/>
    </row>
    <row r="574" spans="1:8" ht="15.75" thickBot="1">
      <c r="A574" s="9"/>
      <c r="B574" s="9"/>
      <c r="G574" s="9"/>
      <c r="H574" s="9"/>
    </row>
    <row r="575" spans="1:8" ht="15.75" thickBot="1">
      <c r="A575" s="9"/>
      <c r="B575" s="9"/>
      <c r="G575" s="9"/>
      <c r="H575" s="9"/>
    </row>
    <row r="576" spans="1:8" ht="15.75" thickBot="1">
      <c r="A576" s="9"/>
      <c r="B576" s="9"/>
      <c r="G576" s="9"/>
      <c r="H576" s="9"/>
    </row>
    <row r="577" spans="1:8" ht="15.75" thickBot="1">
      <c r="A577" s="9"/>
      <c r="B577" s="9"/>
      <c r="G577" s="9"/>
      <c r="H577" s="9"/>
    </row>
    <row r="578" spans="1:8" ht="15.75" thickBot="1">
      <c r="A578" s="9"/>
      <c r="B578" s="9"/>
      <c r="G578" s="9"/>
      <c r="H578" s="9"/>
    </row>
    <row r="579" spans="1:8" ht="15.75" thickBot="1">
      <c r="A579" s="9"/>
      <c r="B579" s="9"/>
      <c r="G579" s="9"/>
      <c r="H579" s="9"/>
    </row>
    <row r="580" spans="1:8" ht="15.75" thickBot="1">
      <c r="A580" s="9"/>
      <c r="B580" s="9"/>
      <c r="G580" s="9"/>
      <c r="H580" s="9"/>
    </row>
    <row r="581" spans="1:8" ht="15.75" thickBot="1">
      <c r="A581" s="9"/>
      <c r="B581" s="9"/>
      <c r="G581" s="9"/>
      <c r="H581" s="9"/>
    </row>
    <row r="582" spans="1:8" ht="15.75" thickBot="1">
      <c r="A582" s="9"/>
      <c r="B582" s="9"/>
      <c r="G582" s="9"/>
      <c r="H582" s="9"/>
    </row>
    <row r="583" spans="1:8" ht="15.75" thickBot="1">
      <c r="A583" s="9"/>
      <c r="B583" s="9"/>
      <c r="G583" s="9"/>
      <c r="H583" s="9"/>
    </row>
    <row r="584" spans="1:8" ht="15.75" thickBot="1">
      <c r="A584" s="9"/>
      <c r="B584" s="9"/>
      <c r="G584" s="9"/>
      <c r="H584" s="9"/>
    </row>
    <row r="585" spans="1:8" ht="15.75" thickBot="1">
      <c r="A585" s="9"/>
      <c r="B585" s="9"/>
      <c r="G585" s="9"/>
      <c r="H585" s="9"/>
    </row>
    <row r="586" spans="1:8" ht="15.75" thickBot="1">
      <c r="A586" s="9"/>
      <c r="B586" s="9"/>
      <c r="G586" s="9"/>
      <c r="H586" s="9"/>
    </row>
    <row r="587" spans="1:8" ht="15.75" thickBot="1">
      <c r="A587" s="9"/>
      <c r="B587" s="9"/>
      <c r="G587" s="9"/>
      <c r="H587" s="9"/>
    </row>
    <row r="588" spans="1:8" ht="15.75" thickBot="1">
      <c r="A588" s="9"/>
      <c r="B588" s="9"/>
      <c r="G588" s="9"/>
      <c r="H588" s="9"/>
    </row>
    <row r="589" spans="1:8" ht="15.75" thickBot="1">
      <c r="A589" s="9"/>
      <c r="B589" s="9"/>
      <c r="G589" s="9"/>
      <c r="H589" s="9"/>
    </row>
    <row r="590" spans="1:8" ht="15.75" thickBot="1">
      <c r="A590" s="9"/>
      <c r="B590" s="9"/>
      <c r="G590" s="9"/>
      <c r="H590" s="9"/>
    </row>
    <row r="591" spans="1:8" ht="15.75" thickBot="1">
      <c r="A591" s="9"/>
      <c r="B591" s="9"/>
      <c r="G591" s="9"/>
      <c r="H591" s="9"/>
    </row>
    <row r="592" spans="1:8" ht="15.75" thickBot="1">
      <c r="A592" s="9"/>
      <c r="B592" s="9"/>
      <c r="G592" s="9"/>
      <c r="H592" s="9"/>
    </row>
    <row r="593" spans="1:8" ht="15.75" thickBot="1">
      <c r="A593" s="9"/>
      <c r="B593" s="9"/>
      <c r="G593" s="9"/>
      <c r="H593" s="9"/>
    </row>
    <row r="594" spans="1:8" ht="15.75" thickBot="1">
      <c r="A594" s="9"/>
      <c r="B594" s="9"/>
      <c r="G594" s="9"/>
      <c r="H594" s="9"/>
    </row>
    <row r="595" spans="1:8" ht="15.75" thickBot="1">
      <c r="A595" s="9"/>
      <c r="B595" s="9"/>
      <c r="G595" s="9"/>
      <c r="H595" s="9"/>
    </row>
    <row r="596" spans="1:8" ht="15.75" thickBot="1">
      <c r="A596" s="9"/>
      <c r="B596" s="9"/>
      <c r="G596" s="9"/>
      <c r="H596" s="9"/>
    </row>
    <row r="597" spans="1:8" ht="15.75" thickBot="1">
      <c r="A597" s="9"/>
      <c r="B597" s="9"/>
      <c r="G597" s="9"/>
      <c r="H597" s="9"/>
    </row>
    <row r="598" spans="1:8" ht="15.75" thickBot="1">
      <c r="A598" s="9"/>
      <c r="B598" s="9"/>
      <c r="G598" s="9"/>
      <c r="H598" s="9"/>
    </row>
    <row r="599" spans="1:8" ht="15.75" thickBot="1">
      <c r="A599" s="9"/>
      <c r="B599" s="9"/>
      <c r="G599" s="9"/>
      <c r="H599" s="9"/>
    </row>
    <row r="600" spans="1:8" ht="15.75" thickBot="1">
      <c r="A600" s="9"/>
      <c r="B600" s="9"/>
      <c r="G600" s="9"/>
      <c r="H600" s="9"/>
    </row>
    <row r="601" spans="1:8" ht="15.75" thickBot="1">
      <c r="A601" s="9"/>
      <c r="B601" s="9"/>
      <c r="G601" s="9"/>
      <c r="H601" s="9"/>
    </row>
    <row r="602" spans="1:8" ht="15.75" thickBot="1">
      <c r="A602" s="9"/>
      <c r="B602" s="9"/>
      <c r="G602" s="9"/>
      <c r="H602" s="9"/>
    </row>
    <row r="603" spans="1:8" ht="15.75" thickBot="1">
      <c r="A603" s="9"/>
      <c r="B603" s="9"/>
      <c r="G603" s="9"/>
      <c r="H603" s="9"/>
    </row>
    <row r="604" spans="1:8" ht="15.75" thickBot="1">
      <c r="A604" s="9"/>
      <c r="B604" s="9"/>
      <c r="G604" s="9"/>
      <c r="H604" s="9"/>
    </row>
    <row r="605" spans="1:8" ht="15.75" thickBot="1">
      <c r="A605" s="9"/>
      <c r="B605" s="9"/>
      <c r="G605" s="9"/>
      <c r="H605" s="9"/>
    </row>
    <row r="606" spans="1:8" ht="15.75" thickBot="1">
      <c r="A606" s="9"/>
      <c r="B606" s="9"/>
      <c r="G606" s="9"/>
      <c r="H606" s="9"/>
    </row>
    <row r="607" spans="1:8" ht="15.75" thickBot="1">
      <c r="A607" s="9"/>
      <c r="B607" s="9"/>
      <c r="G607" s="9"/>
      <c r="H607" s="9"/>
    </row>
    <row r="608" spans="1:8" ht="15.75" thickBot="1">
      <c r="A608" s="9"/>
      <c r="B608" s="9"/>
      <c r="G608" s="9"/>
      <c r="H608" s="9"/>
    </row>
    <row r="609" spans="1:8" ht="15.75" thickBot="1">
      <c r="A609" s="9"/>
      <c r="B609" s="9"/>
      <c r="G609" s="9"/>
      <c r="H609" s="9"/>
    </row>
    <row r="610" spans="1:8" ht="15.75" thickBot="1">
      <c r="A610" s="9"/>
      <c r="B610" s="9"/>
      <c r="G610" s="9"/>
      <c r="H610" s="9"/>
    </row>
    <row r="611" spans="1:8" ht="15.75" thickBot="1">
      <c r="A611" s="9"/>
      <c r="B611" s="9"/>
      <c r="G611" s="9"/>
      <c r="H611" s="9"/>
    </row>
    <row r="612" spans="1:8" ht="15.75" thickBot="1">
      <c r="A612" s="9"/>
      <c r="B612" s="9"/>
      <c r="G612" s="9"/>
      <c r="H612" s="9"/>
    </row>
    <row r="613" spans="1:8" ht="15.75" thickBot="1">
      <c r="A613" s="9"/>
      <c r="B613" s="9"/>
      <c r="G613" s="9"/>
      <c r="H613" s="9"/>
    </row>
    <row r="614" spans="1:8" ht="15.75" thickBot="1">
      <c r="A614" s="9"/>
      <c r="B614" s="9"/>
      <c r="G614" s="9"/>
      <c r="H614" s="9"/>
    </row>
    <row r="615" spans="1:8" ht="15.75" thickBot="1">
      <c r="A615" s="9"/>
      <c r="B615" s="9"/>
      <c r="G615" s="9"/>
      <c r="H615" s="9"/>
    </row>
    <row r="616" spans="1:8" ht="15.75" thickBot="1">
      <c r="A616" s="9"/>
      <c r="B616" s="9"/>
      <c r="G616" s="9"/>
      <c r="H616" s="9"/>
    </row>
    <row r="617" spans="1:8" ht="15.75" thickBot="1">
      <c r="A617" s="9"/>
      <c r="B617" s="9"/>
      <c r="G617" s="9"/>
      <c r="H617" s="9"/>
    </row>
    <row r="618" spans="1:8" ht="15.75" thickBot="1">
      <c r="A618" s="9"/>
      <c r="B618" s="9"/>
      <c r="G618" s="9"/>
      <c r="H618" s="9"/>
    </row>
    <row r="619" spans="1:8" ht="15.75" thickBot="1">
      <c r="A619" s="9"/>
      <c r="B619" s="9"/>
      <c r="G619" s="9"/>
      <c r="H619" s="9"/>
    </row>
    <row r="620" spans="1:8" ht="15.75" thickBot="1">
      <c r="A620" s="9"/>
      <c r="B620" s="9"/>
      <c r="G620" s="9"/>
      <c r="H620" s="9"/>
    </row>
    <row r="621" spans="1:8" ht="15.75" thickBot="1">
      <c r="A621" s="9"/>
      <c r="B621" s="9"/>
      <c r="G621" s="9"/>
      <c r="H621" s="9"/>
    </row>
    <row r="622" spans="1:8" ht="15.75" thickBot="1">
      <c r="A622" s="9"/>
      <c r="B622" s="9"/>
      <c r="G622" s="9"/>
      <c r="H622" s="9"/>
    </row>
    <row r="623" spans="1:8" ht="15.75" thickBot="1">
      <c r="A623" s="9"/>
      <c r="B623" s="9"/>
      <c r="G623" s="9"/>
      <c r="H623" s="9"/>
    </row>
    <row r="624" spans="1:8" ht="15.75" thickBot="1">
      <c r="A624" s="9"/>
      <c r="B624" s="9"/>
      <c r="G624" s="9"/>
      <c r="H624" s="9"/>
    </row>
    <row r="625" spans="1:8" ht="15.75" thickBot="1">
      <c r="A625" s="9"/>
      <c r="B625" s="9"/>
      <c r="G625" s="9"/>
      <c r="H625" s="9"/>
    </row>
    <row r="626" spans="1:8" ht="15.75" thickBot="1">
      <c r="A626" s="9"/>
      <c r="B626" s="9"/>
      <c r="G626" s="9"/>
      <c r="H626" s="9"/>
    </row>
    <row r="627" spans="1:8" ht="15.75" thickBot="1">
      <c r="A627" s="9"/>
      <c r="B627" s="9"/>
      <c r="G627" s="9"/>
      <c r="H627" s="9"/>
    </row>
    <row r="628" spans="1:8" ht="15.75" thickBot="1">
      <c r="A628" s="9"/>
      <c r="B628" s="9"/>
      <c r="G628" s="9"/>
      <c r="H628" s="9"/>
    </row>
    <row r="629" spans="1:8" ht="15.75" thickBot="1">
      <c r="A629" s="9"/>
      <c r="B629" s="9"/>
      <c r="G629" s="9"/>
      <c r="H629" s="9"/>
    </row>
    <row r="630" spans="1:8" ht="15.75" thickBot="1">
      <c r="A630" s="9"/>
      <c r="B630" s="9"/>
      <c r="G630" s="9"/>
      <c r="H630" s="9"/>
    </row>
    <row r="631" spans="1:8" ht="15.75" thickBot="1">
      <c r="A631" s="9"/>
      <c r="B631" s="9"/>
      <c r="G631" s="9"/>
      <c r="H631" s="9"/>
    </row>
    <row r="632" spans="1:8" ht="15.75" thickBot="1">
      <c r="A632" s="9"/>
      <c r="B632" s="9"/>
      <c r="G632" s="9"/>
      <c r="H632" s="9"/>
    </row>
    <row r="633" spans="1:8" ht="15.75" thickBot="1">
      <c r="A633" s="9"/>
      <c r="B633" s="9"/>
      <c r="G633" s="9"/>
      <c r="H633" s="9"/>
    </row>
    <row r="634" spans="1:8" ht="15.75" thickBot="1">
      <c r="A634" s="9"/>
      <c r="B634" s="9"/>
      <c r="G634" s="9"/>
      <c r="H634" s="9"/>
    </row>
    <row r="635" spans="1:8" ht="15.75" thickBot="1">
      <c r="A635" s="9"/>
      <c r="B635" s="9"/>
      <c r="G635" s="9"/>
      <c r="H635" s="9"/>
    </row>
    <row r="636" spans="1:8" ht="15.75" thickBot="1">
      <c r="A636" s="9"/>
      <c r="B636" s="9"/>
      <c r="G636" s="9"/>
      <c r="H636" s="9"/>
    </row>
    <row r="637" spans="1:8" ht="15.75" thickBot="1">
      <c r="A637" s="9"/>
      <c r="B637" s="9"/>
      <c r="G637" s="9"/>
      <c r="H637" s="9"/>
    </row>
    <row r="638" spans="1:8" ht="15.75" thickBot="1">
      <c r="A638" s="9"/>
      <c r="B638" s="9"/>
      <c r="G638" s="9"/>
      <c r="H638" s="9"/>
    </row>
    <row r="639" spans="1:8" ht="15.75" thickBot="1">
      <c r="A639" s="9"/>
      <c r="B639" s="9"/>
      <c r="G639" s="9"/>
      <c r="H639" s="9"/>
    </row>
    <row r="640" spans="1:8" ht="15.75" thickBot="1">
      <c r="A640" s="9"/>
      <c r="B640" s="9"/>
      <c r="G640" s="9"/>
      <c r="H640" s="9"/>
    </row>
    <row r="641" spans="1:8" ht="15.75" thickBot="1">
      <c r="A641" s="9"/>
      <c r="B641" s="9"/>
      <c r="G641" s="9"/>
      <c r="H641" s="9"/>
    </row>
    <row r="642" spans="1:8" ht="15.75" thickBot="1">
      <c r="A642" s="9"/>
      <c r="B642" s="9"/>
      <c r="G642" s="9"/>
      <c r="H642" s="9"/>
    </row>
    <row r="643" spans="1:8" ht="15.75" thickBot="1">
      <c r="A643" s="9"/>
      <c r="B643" s="9"/>
      <c r="G643" s="9"/>
      <c r="H643" s="9"/>
    </row>
    <row r="644" spans="1:8" ht="15.75" thickBot="1">
      <c r="A644" s="9"/>
      <c r="B644" s="9"/>
      <c r="G644" s="9"/>
      <c r="H644" s="9"/>
    </row>
    <row r="645" spans="1:8" ht="15.75" thickBot="1">
      <c r="A645" s="9"/>
      <c r="B645" s="9"/>
      <c r="G645" s="9"/>
      <c r="H645" s="9"/>
    </row>
    <row r="646" spans="1:8" ht="15.75" thickBot="1">
      <c r="A646" s="9"/>
      <c r="B646" s="9"/>
      <c r="G646" s="9"/>
      <c r="H646" s="9"/>
    </row>
    <row r="647" spans="1:8" ht="15.75" thickBot="1">
      <c r="A647" s="9"/>
      <c r="B647" s="9"/>
      <c r="G647" s="9"/>
      <c r="H647" s="9"/>
    </row>
    <row r="648" spans="1:8" ht="15.75" thickBot="1">
      <c r="A648" s="9"/>
      <c r="B648" s="9"/>
      <c r="G648" s="9"/>
      <c r="H648" s="9"/>
    </row>
    <row r="649" spans="1:8" ht="15.75" thickBot="1">
      <c r="A649" s="9"/>
      <c r="B649" s="9"/>
      <c r="G649" s="9"/>
      <c r="H649" s="9"/>
    </row>
    <row r="650" spans="1:8" ht="15.75" thickBot="1">
      <c r="A650" s="9"/>
      <c r="B650" s="9"/>
      <c r="G650" s="9"/>
      <c r="H650" s="9"/>
    </row>
    <row r="651" spans="1:8" ht="15.75" thickBot="1">
      <c r="A651" s="9"/>
      <c r="B651" s="9"/>
      <c r="G651" s="9"/>
      <c r="H651" s="9"/>
    </row>
    <row r="652" spans="1:8" ht="15.75" thickBot="1">
      <c r="A652" s="9"/>
      <c r="B652" s="9"/>
      <c r="G652" s="9"/>
      <c r="H652" s="9"/>
    </row>
    <row r="653" spans="1:8" ht="15.75" thickBot="1">
      <c r="A653" s="9"/>
      <c r="B653" s="9"/>
      <c r="G653" s="9"/>
      <c r="H653" s="9"/>
    </row>
    <row r="654" spans="1:8" ht="15.75" thickBot="1">
      <c r="A654" s="9"/>
      <c r="B654" s="9"/>
      <c r="G654" s="9"/>
      <c r="H654" s="9"/>
    </row>
    <row r="655" spans="1:8" ht="15.75" thickBot="1">
      <c r="A655" s="9"/>
      <c r="B655" s="9"/>
      <c r="G655" s="9"/>
      <c r="H655" s="9"/>
    </row>
    <row r="656" spans="1:8" ht="15.75" thickBot="1">
      <c r="A656" s="9"/>
      <c r="B656" s="9"/>
      <c r="G656" s="9"/>
      <c r="H656" s="9"/>
    </row>
    <row r="657" spans="1:8" ht="15.75" thickBot="1">
      <c r="A657" s="9"/>
      <c r="B657" s="9"/>
      <c r="G657" s="9"/>
      <c r="H657" s="9"/>
    </row>
    <row r="658" spans="1:8" ht="15.75" thickBot="1">
      <c r="A658" s="9"/>
      <c r="B658" s="9"/>
      <c r="G658" s="9"/>
      <c r="H658" s="9"/>
    </row>
    <row r="659" spans="1:8" ht="15.75" thickBot="1">
      <c r="A659" s="9"/>
      <c r="B659" s="9"/>
      <c r="G659" s="9"/>
      <c r="H659" s="9"/>
    </row>
    <row r="660" spans="1:8" ht="15.75" thickBot="1">
      <c r="A660" s="9"/>
      <c r="B660" s="9"/>
      <c r="G660" s="9"/>
      <c r="H660" s="9"/>
    </row>
    <row r="661" spans="1:8" ht="15.75" thickBot="1">
      <c r="A661" s="9"/>
      <c r="B661" s="9"/>
      <c r="G661" s="9"/>
      <c r="H661" s="9"/>
    </row>
    <row r="662" spans="1:8" ht="15.75" thickBot="1">
      <c r="A662" s="9"/>
      <c r="B662" s="9"/>
      <c r="G662" s="9"/>
      <c r="H662" s="9"/>
    </row>
    <row r="663" spans="1:8" ht="15.75" thickBot="1">
      <c r="A663" s="9"/>
      <c r="B663" s="9"/>
      <c r="G663" s="9"/>
      <c r="H663" s="9"/>
    </row>
    <row r="664" spans="1:8" ht="15.75" thickBot="1">
      <c r="A664" s="9"/>
      <c r="B664" s="9"/>
      <c r="G664" s="9"/>
      <c r="H664" s="9"/>
    </row>
    <row r="665" spans="1:8" ht="15.75" thickBot="1">
      <c r="A665" s="9"/>
      <c r="B665" s="9"/>
      <c r="G665" s="9"/>
      <c r="H665" s="9"/>
    </row>
    <row r="666" spans="1:8" ht="15.75" thickBot="1">
      <c r="A666" s="9"/>
      <c r="B666" s="9"/>
      <c r="G666" s="9"/>
      <c r="H666" s="9"/>
    </row>
    <row r="667" spans="1:8" ht="15.75" thickBot="1">
      <c r="A667" s="9"/>
      <c r="B667" s="9"/>
      <c r="G667" s="9"/>
      <c r="H667" s="9"/>
    </row>
    <row r="668" spans="1:8" ht="15.75" thickBot="1">
      <c r="A668" s="9"/>
      <c r="B668" s="9"/>
      <c r="G668" s="9"/>
      <c r="H668" s="9"/>
    </row>
    <row r="669" spans="1:8" ht="15.75" thickBot="1">
      <c r="A669" s="9"/>
      <c r="B669" s="9"/>
      <c r="G669" s="9"/>
      <c r="H669" s="9"/>
    </row>
    <row r="670" spans="1:8" ht="15.75" thickBot="1">
      <c r="A670" s="9"/>
      <c r="B670" s="9"/>
      <c r="G670" s="9"/>
      <c r="H670" s="9"/>
    </row>
    <row r="671" spans="1:8" ht="15.75" thickBot="1">
      <c r="A671" s="9"/>
      <c r="B671" s="9"/>
      <c r="G671" s="9"/>
      <c r="H671" s="9"/>
    </row>
    <row r="672" spans="1:8" ht="15.75" thickBot="1">
      <c r="A672" s="9"/>
      <c r="B672" s="9"/>
      <c r="G672" s="9"/>
      <c r="H672" s="9"/>
    </row>
    <row r="673" spans="1:8" ht="15.75" thickBot="1">
      <c r="A673" s="9"/>
      <c r="B673" s="9"/>
      <c r="G673" s="9"/>
      <c r="H673" s="9"/>
    </row>
    <row r="674" spans="1:8" ht="15.75" thickBot="1">
      <c r="A674" s="9"/>
      <c r="B674" s="9"/>
      <c r="G674" s="9"/>
      <c r="H674" s="9"/>
    </row>
    <row r="675" spans="1:8" ht="15.75" thickBot="1">
      <c r="A675" s="9"/>
      <c r="B675" s="9"/>
      <c r="G675" s="9"/>
      <c r="H675" s="9"/>
    </row>
    <row r="676" spans="1:8" ht="15.75" thickBot="1">
      <c r="A676" s="9"/>
      <c r="B676" s="9"/>
      <c r="G676" s="9"/>
      <c r="H676" s="9"/>
    </row>
    <row r="677" spans="1:8" ht="15.75" thickBot="1">
      <c r="A677" s="9"/>
      <c r="B677" s="9"/>
      <c r="G677" s="9"/>
      <c r="H677" s="9"/>
    </row>
    <row r="678" spans="1:8" ht="15.75" thickBot="1">
      <c r="A678" s="9"/>
      <c r="B678" s="9"/>
      <c r="G678" s="9"/>
      <c r="H678" s="9"/>
    </row>
    <row r="679" spans="1:8" ht="15.75" thickBot="1">
      <c r="A679" s="9"/>
      <c r="B679" s="9"/>
      <c r="G679" s="9"/>
      <c r="H679" s="9"/>
    </row>
    <row r="680" spans="1:8" ht="15.75" thickBot="1">
      <c r="A680" s="9"/>
      <c r="B680" s="9"/>
      <c r="G680" s="9"/>
      <c r="H680" s="9"/>
    </row>
    <row r="681" spans="1:8" ht="15.75" thickBot="1">
      <c r="A681" s="9"/>
      <c r="B681" s="9"/>
      <c r="G681" s="9"/>
      <c r="H681" s="9"/>
    </row>
    <row r="682" spans="1:8" ht="15.75" thickBot="1">
      <c r="A682" s="9"/>
      <c r="B682" s="9"/>
      <c r="G682" s="9"/>
      <c r="H682" s="9"/>
    </row>
    <row r="683" spans="1:8" ht="15.75" thickBot="1">
      <c r="A683" s="9"/>
      <c r="B683" s="9"/>
      <c r="G683" s="9"/>
      <c r="H683" s="9"/>
    </row>
    <row r="684" spans="1:8" ht="15.75" thickBot="1">
      <c r="A684" s="9"/>
      <c r="B684" s="9"/>
      <c r="G684" s="9"/>
      <c r="H684" s="9"/>
    </row>
    <row r="685" spans="1:8" ht="15.75" thickBot="1">
      <c r="A685" s="9"/>
      <c r="B685" s="9"/>
      <c r="G685" s="9"/>
      <c r="H685" s="9"/>
    </row>
    <row r="686" spans="1:8" ht="15.75" thickBot="1">
      <c r="A686" s="9"/>
      <c r="B686" s="9"/>
      <c r="G686" s="9"/>
      <c r="H686" s="9"/>
    </row>
    <row r="687" spans="1:8" ht="15.75" thickBot="1">
      <c r="A687" s="9"/>
      <c r="B687" s="9"/>
      <c r="G687" s="9"/>
      <c r="H687" s="9"/>
    </row>
    <row r="688" spans="1:8" ht="15.75" thickBot="1">
      <c r="A688" s="9"/>
      <c r="B688" s="9"/>
      <c r="G688" s="9"/>
      <c r="H688" s="9"/>
    </row>
    <row r="689" spans="1:8" ht="15.75" thickBot="1">
      <c r="A689" s="9"/>
      <c r="B689" s="9"/>
      <c r="G689" s="9"/>
      <c r="H689" s="9"/>
    </row>
    <row r="690" spans="1:8" ht="15.75" thickBot="1">
      <c r="A690" s="9"/>
      <c r="B690" s="9"/>
      <c r="G690" s="9"/>
      <c r="H690" s="9"/>
    </row>
    <row r="691" spans="1:8" ht="15.75" thickBot="1">
      <c r="A691" s="9"/>
      <c r="B691" s="9"/>
      <c r="G691" s="9"/>
      <c r="H691" s="9"/>
    </row>
    <row r="692" spans="1:8" ht="15.75" thickBot="1">
      <c r="A692" s="9"/>
      <c r="B692" s="9"/>
      <c r="G692" s="9"/>
      <c r="H692" s="9"/>
    </row>
    <row r="693" spans="1:8" ht="15.75" thickBot="1">
      <c r="A693" s="9"/>
      <c r="B693" s="9"/>
      <c r="G693" s="9"/>
      <c r="H693" s="9"/>
    </row>
    <row r="694" spans="1:8" ht="15.75" thickBot="1">
      <c r="A694" s="9"/>
      <c r="B694" s="9"/>
      <c r="G694" s="9"/>
      <c r="H694" s="9"/>
    </row>
    <row r="695" spans="1:8" ht="15.75" thickBot="1">
      <c r="A695" s="9"/>
      <c r="B695" s="9"/>
      <c r="G695" s="9"/>
      <c r="H695" s="9"/>
    </row>
    <row r="696" spans="1:8" ht="15.75" thickBot="1">
      <c r="A696" s="9"/>
      <c r="B696" s="9"/>
      <c r="G696" s="9"/>
      <c r="H696" s="9"/>
    </row>
    <row r="697" spans="1:8" ht="15.75" thickBot="1">
      <c r="A697" s="9"/>
      <c r="B697" s="9"/>
      <c r="G697" s="9"/>
      <c r="H697" s="9"/>
    </row>
    <row r="698" spans="1:8" ht="15.75" thickBot="1">
      <c r="A698" s="9"/>
      <c r="B698" s="9"/>
      <c r="G698" s="9"/>
      <c r="H698" s="9"/>
    </row>
    <row r="699" spans="1:8" ht="15.75" thickBot="1">
      <c r="A699" s="9"/>
      <c r="B699" s="9"/>
      <c r="G699" s="9"/>
      <c r="H699" s="9"/>
    </row>
    <row r="700" spans="1:8" ht="15.75" thickBot="1">
      <c r="A700" s="9"/>
      <c r="B700" s="9"/>
      <c r="G700" s="9"/>
      <c r="H700" s="9"/>
    </row>
    <row r="701" spans="1:8" ht="15.75" thickBot="1">
      <c r="A701" s="9"/>
      <c r="B701" s="9"/>
      <c r="G701" s="9"/>
      <c r="H701" s="9"/>
    </row>
    <row r="702" spans="1:8" ht="15.75" thickBot="1">
      <c r="A702" s="9"/>
      <c r="B702" s="9"/>
      <c r="G702" s="9"/>
      <c r="H702" s="9"/>
    </row>
    <row r="703" spans="1:8" ht="15.75" thickBot="1">
      <c r="A703" s="9"/>
      <c r="B703" s="9"/>
      <c r="G703" s="9"/>
      <c r="H703" s="9"/>
    </row>
    <row r="704" spans="1:8" ht="15.75" thickBot="1">
      <c r="A704" s="9"/>
      <c r="B704" s="9"/>
      <c r="G704" s="9"/>
      <c r="H704" s="9"/>
    </row>
    <row r="705" spans="1:8" ht="15.75" thickBot="1">
      <c r="A705" s="9"/>
      <c r="B705" s="9"/>
      <c r="G705" s="9"/>
      <c r="H705" s="9"/>
    </row>
    <row r="706" spans="1:8" ht="15.75" thickBot="1">
      <c r="A706" s="9"/>
      <c r="B706" s="9"/>
      <c r="G706" s="9"/>
      <c r="H706" s="9"/>
    </row>
    <row r="707" spans="1:8" ht="15.75" thickBot="1">
      <c r="A707" s="9"/>
      <c r="B707" s="9"/>
      <c r="G707" s="9"/>
      <c r="H707" s="9"/>
    </row>
    <row r="708" spans="1:8" ht="15.75" thickBot="1">
      <c r="A708" s="9"/>
      <c r="B708" s="9"/>
      <c r="G708" s="9"/>
      <c r="H708" s="9"/>
    </row>
    <row r="709" spans="1:8" ht="15.75" thickBot="1">
      <c r="A709" s="9"/>
      <c r="B709" s="9"/>
      <c r="G709" s="9"/>
      <c r="H709" s="9"/>
    </row>
    <row r="710" spans="1:8" ht="15.75" thickBot="1">
      <c r="A710" s="9"/>
      <c r="B710" s="9"/>
      <c r="G710" s="9"/>
      <c r="H710" s="9"/>
    </row>
    <row r="711" spans="1:8" ht="15.75" thickBot="1">
      <c r="A711" s="9"/>
      <c r="B711" s="9"/>
      <c r="G711" s="9"/>
      <c r="H711" s="9"/>
    </row>
    <row r="712" spans="1:8" ht="15.75" thickBot="1">
      <c r="A712" s="9"/>
      <c r="B712" s="9"/>
      <c r="G712" s="9"/>
      <c r="H712" s="9"/>
    </row>
    <row r="713" spans="1:8" ht="15.75" thickBot="1">
      <c r="A713" s="9"/>
      <c r="B713" s="9"/>
      <c r="G713" s="9"/>
      <c r="H713" s="9"/>
    </row>
    <row r="714" spans="1:8" ht="15.75" thickBot="1">
      <c r="A714" s="9"/>
      <c r="B714" s="9"/>
      <c r="G714" s="9"/>
      <c r="H714" s="9"/>
    </row>
    <row r="715" spans="1:8" ht="15.75" thickBot="1">
      <c r="A715" s="9"/>
      <c r="B715" s="9"/>
      <c r="G715" s="9"/>
      <c r="H715" s="9"/>
    </row>
    <row r="716" spans="1:8" ht="15.75" thickBot="1">
      <c r="A716" s="9"/>
      <c r="B716" s="9"/>
      <c r="G716" s="9"/>
      <c r="H716" s="9"/>
    </row>
    <row r="717" spans="1:8" ht="15.75" thickBot="1">
      <c r="A717" s="9"/>
      <c r="B717" s="9"/>
      <c r="G717" s="9"/>
      <c r="H717" s="9"/>
    </row>
    <row r="718" spans="1:8" ht="15.75" thickBot="1">
      <c r="A718" s="9"/>
      <c r="B718" s="9"/>
      <c r="G718" s="9"/>
      <c r="H718" s="9"/>
    </row>
    <row r="719" spans="1:8" ht="15.75" thickBot="1">
      <c r="A719" s="9"/>
      <c r="B719" s="9"/>
      <c r="G719" s="9"/>
      <c r="H719" s="9"/>
    </row>
    <row r="720" spans="1:8" ht="15.75" thickBot="1">
      <c r="A720" s="9"/>
      <c r="B720" s="9"/>
      <c r="G720" s="9"/>
      <c r="H720" s="9"/>
    </row>
    <row r="721" spans="1:8" ht="15.75" thickBot="1">
      <c r="A721" s="9"/>
      <c r="B721" s="9"/>
      <c r="G721" s="9"/>
      <c r="H721" s="9"/>
    </row>
    <row r="722" spans="1:8" ht="15.75" thickBot="1">
      <c r="A722" s="9"/>
      <c r="B722" s="9"/>
      <c r="G722" s="9"/>
      <c r="H722" s="9"/>
    </row>
    <row r="723" spans="1:8" ht="15.75" thickBot="1">
      <c r="A723" s="9"/>
      <c r="B723" s="9"/>
      <c r="G723" s="9"/>
      <c r="H723" s="9"/>
    </row>
    <row r="724" spans="1:8" ht="15.75" thickBot="1">
      <c r="A724" s="9"/>
      <c r="B724" s="9"/>
      <c r="G724" s="9"/>
      <c r="H724" s="9"/>
    </row>
    <row r="725" spans="1:8" ht="15.75" thickBot="1">
      <c r="A725" s="9"/>
      <c r="B725" s="9"/>
      <c r="G725" s="9"/>
      <c r="H725" s="9"/>
    </row>
    <row r="726" spans="1:8" ht="15.75" thickBot="1">
      <c r="A726" s="9"/>
      <c r="B726" s="9"/>
      <c r="G726" s="9"/>
      <c r="H726" s="9"/>
    </row>
    <row r="727" spans="1:8" ht="15.75" thickBot="1">
      <c r="A727" s="9"/>
      <c r="B727" s="9"/>
      <c r="G727" s="9"/>
      <c r="H727" s="9"/>
    </row>
    <row r="728" spans="1:8" ht="15.75" thickBot="1">
      <c r="A728" s="9"/>
      <c r="B728" s="9"/>
      <c r="G728" s="9"/>
      <c r="H728" s="9"/>
    </row>
    <row r="729" spans="1:8" ht="15.75" thickBot="1">
      <c r="A729" s="9"/>
      <c r="B729" s="9"/>
      <c r="G729" s="9"/>
      <c r="H729" s="9"/>
    </row>
    <row r="730" spans="1:8" ht="15.75" thickBot="1">
      <c r="A730" s="9"/>
      <c r="B730" s="9"/>
      <c r="G730" s="9"/>
      <c r="H730" s="9"/>
    </row>
    <row r="731" spans="1:8" ht="15.75" thickBot="1">
      <c r="A731" s="9"/>
      <c r="B731" s="9"/>
      <c r="G731" s="9"/>
      <c r="H731" s="9"/>
    </row>
    <row r="732" spans="1:8" ht="15.75" thickBot="1">
      <c r="A732" s="9"/>
      <c r="B732" s="9"/>
      <c r="G732" s="9"/>
      <c r="H732" s="9"/>
    </row>
    <row r="733" spans="1:8" ht="15.75" thickBot="1">
      <c r="A733" s="9"/>
      <c r="B733" s="9"/>
      <c r="G733" s="9"/>
      <c r="H733" s="9"/>
    </row>
    <row r="734" spans="1:8" ht="15.75" thickBot="1">
      <c r="A734" s="9"/>
      <c r="B734" s="9"/>
      <c r="G734" s="9"/>
      <c r="H734" s="9"/>
    </row>
    <row r="735" spans="1:8" ht="15.75" thickBot="1">
      <c r="A735" s="9"/>
      <c r="B735" s="9"/>
      <c r="G735" s="9"/>
      <c r="H735" s="9"/>
    </row>
    <row r="736" spans="1:8" ht="15.75" thickBot="1">
      <c r="A736" s="9"/>
      <c r="B736" s="9"/>
      <c r="G736" s="9"/>
      <c r="H736" s="9"/>
    </row>
    <row r="737" spans="1:8" ht="15.75" thickBot="1">
      <c r="A737" s="9"/>
      <c r="B737" s="9"/>
      <c r="G737" s="9"/>
      <c r="H737" s="9"/>
    </row>
    <row r="738" spans="1:8" ht="15.75" thickBot="1">
      <c r="A738" s="9"/>
      <c r="B738" s="9"/>
      <c r="G738" s="9"/>
      <c r="H738" s="9"/>
    </row>
    <row r="739" spans="1:8" ht="15.75" thickBot="1">
      <c r="A739" s="9"/>
      <c r="B739" s="9"/>
      <c r="G739" s="9"/>
      <c r="H739" s="9"/>
    </row>
    <row r="740" spans="1:8" ht="15.75" thickBot="1">
      <c r="A740" s="9"/>
      <c r="B740" s="9"/>
      <c r="G740" s="9"/>
      <c r="H740" s="9"/>
    </row>
    <row r="741" spans="1:8" ht="15.75" thickBot="1">
      <c r="A741" s="9"/>
      <c r="B741" s="9"/>
      <c r="G741" s="9"/>
      <c r="H741" s="9"/>
    </row>
    <row r="742" spans="1:8" ht="15.75" thickBot="1">
      <c r="A742" s="9"/>
      <c r="B742" s="9"/>
      <c r="G742" s="9"/>
      <c r="H742" s="9"/>
    </row>
    <row r="743" spans="1:8" ht="15.75" thickBot="1">
      <c r="A743" s="9"/>
      <c r="B743" s="9"/>
      <c r="G743" s="9"/>
      <c r="H743" s="9"/>
    </row>
    <row r="744" spans="1:8" ht="15.75" thickBot="1">
      <c r="A744" s="9"/>
      <c r="B744" s="9"/>
      <c r="G744" s="9"/>
      <c r="H744" s="9"/>
    </row>
    <row r="745" spans="1:8" ht="15.75" thickBot="1">
      <c r="A745" s="9"/>
      <c r="B745" s="9"/>
      <c r="G745" s="9"/>
      <c r="H745" s="9"/>
    </row>
    <row r="746" spans="1:8" ht="15.75" thickBot="1">
      <c r="A746" s="9"/>
      <c r="B746" s="9"/>
      <c r="G746" s="9"/>
      <c r="H746" s="9"/>
    </row>
    <row r="747" spans="1:8" ht="15.75" thickBot="1">
      <c r="A747" s="9"/>
      <c r="B747" s="9"/>
      <c r="G747" s="9"/>
      <c r="H747" s="9"/>
    </row>
    <row r="748" spans="1:8" ht="15.75" thickBot="1">
      <c r="A748" s="9"/>
      <c r="B748" s="9"/>
      <c r="G748" s="9"/>
      <c r="H748" s="9"/>
    </row>
    <row r="749" spans="1:8" ht="15.75" thickBot="1">
      <c r="A749" s="9"/>
      <c r="B749" s="9"/>
      <c r="G749" s="9"/>
      <c r="H749" s="9"/>
    </row>
    <row r="750" spans="1:8" ht="15.75" thickBot="1">
      <c r="A750" s="9"/>
      <c r="B750" s="9"/>
      <c r="G750" s="9"/>
      <c r="H750" s="9"/>
    </row>
    <row r="751" spans="1:8" ht="15.75" thickBot="1">
      <c r="A751" s="9"/>
      <c r="B751" s="9"/>
      <c r="G751" s="9"/>
      <c r="H751" s="9"/>
    </row>
    <row r="752" spans="1:8" ht="15.75" thickBot="1">
      <c r="A752" s="9"/>
      <c r="B752" s="9"/>
      <c r="G752" s="9"/>
      <c r="H752" s="9"/>
    </row>
    <row r="753" spans="1:8" ht="15.75" thickBot="1">
      <c r="A753" s="9"/>
      <c r="B753" s="9"/>
      <c r="G753" s="9"/>
      <c r="H753" s="9"/>
    </row>
    <row r="754" spans="1:8" ht="15.75" thickBot="1">
      <c r="A754" s="9"/>
      <c r="B754" s="9"/>
      <c r="G754" s="9"/>
      <c r="H754" s="9"/>
    </row>
    <row r="755" spans="1:8" ht="15.75" thickBot="1">
      <c r="A755" s="9"/>
      <c r="B755" s="9"/>
      <c r="G755" s="9"/>
      <c r="H755" s="9"/>
    </row>
    <row r="756" spans="1:8" ht="15.75" thickBot="1">
      <c r="A756" s="9"/>
      <c r="B756" s="9"/>
      <c r="G756" s="9"/>
      <c r="H756" s="9"/>
    </row>
    <row r="757" spans="1:8" ht="15.75" thickBot="1">
      <c r="A757" s="9"/>
      <c r="B757" s="9"/>
      <c r="G757" s="9"/>
      <c r="H757" s="9"/>
    </row>
    <row r="758" spans="1:8" ht="15.75" thickBot="1">
      <c r="A758" s="9"/>
      <c r="B758" s="9"/>
      <c r="G758" s="9"/>
      <c r="H758" s="9"/>
    </row>
    <row r="759" spans="1:8" ht="15.75" thickBot="1">
      <c r="A759" s="9"/>
      <c r="B759" s="9"/>
      <c r="G759" s="9"/>
      <c r="H759" s="9"/>
    </row>
    <row r="760" spans="1:8" ht="15.75" thickBot="1">
      <c r="A760" s="9"/>
      <c r="B760" s="9"/>
      <c r="G760" s="9"/>
      <c r="H760" s="9"/>
    </row>
    <row r="761" spans="1:8" ht="15.75" thickBot="1">
      <c r="A761" s="9"/>
      <c r="B761" s="9"/>
      <c r="G761" s="9"/>
      <c r="H761" s="9"/>
    </row>
    <row r="762" spans="1:8" ht="15.75" thickBot="1">
      <c r="A762" s="9"/>
      <c r="B762" s="9"/>
      <c r="G762" s="9"/>
      <c r="H762" s="9"/>
    </row>
    <row r="763" spans="1:8" ht="15.75" thickBot="1">
      <c r="A763" s="9"/>
      <c r="B763" s="9"/>
      <c r="G763" s="9"/>
      <c r="H763" s="9"/>
    </row>
    <row r="764" spans="1:8" ht="15.75" thickBot="1">
      <c r="A764" s="9"/>
      <c r="B764" s="9"/>
      <c r="G764" s="9"/>
      <c r="H764" s="9"/>
    </row>
    <row r="765" spans="1:8" ht="15.75" thickBot="1">
      <c r="A765" s="9"/>
      <c r="B765" s="9"/>
      <c r="G765" s="9"/>
      <c r="H765" s="9"/>
    </row>
    <row r="766" spans="1:8" ht="15.75" thickBot="1">
      <c r="A766" s="9"/>
      <c r="B766" s="9"/>
      <c r="G766" s="9"/>
      <c r="H766" s="9"/>
    </row>
    <row r="767" spans="1:8" ht="15.75" thickBot="1">
      <c r="A767" s="9"/>
      <c r="B767" s="9"/>
      <c r="G767" s="9"/>
      <c r="H767" s="9"/>
    </row>
    <row r="768" spans="1:8" ht="15.75" thickBot="1">
      <c r="A768" s="9"/>
      <c r="B768" s="9"/>
      <c r="G768" s="9"/>
      <c r="H768" s="9"/>
    </row>
    <row r="769" spans="1:8" ht="15.75" thickBot="1">
      <c r="A769" s="9"/>
      <c r="B769" s="9"/>
      <c r="G769" s="9"/>
      <c r="H769" s="9"/>
    </row>
    <row r="770" spans="1:8" ht="15.75" thickBot="1">
      <c r="A770" s="9"/>
      <c r="B770" s="9"/>
      <c r="G770" s="9"/>
      <c r="H770" s="9"/>
    </row>
    <row r="771" spans="1:8" ht="15.75" thickBot="1">
      <c r="A771" s="9"/>
      <c r="B771" s="9"/>
      <c r="G771" s="9"/>
      <c r="H771" s="9"/>
    </row>
    <row r="772" spans="1:8" ht="15.75" thickBot="1">
      <c r="A772" s="9"/>
      <c r="B772" s="9"/>
      <c r="G772" s="9"/>
      <c r="H772" s="9"/>
    </row>
    <row r="773" spans="1:8" ht="15.75" thickBot="1">
      <c r="A773" s="9"/>
      <c r="B773" s="9"/>
      <c r="G773" s="9"/>
      <c r="H773" s="9"/>
    </row>
    <row r="774" spans="1:8" ht="15.75" thickBot="1">
      <c r="A774" s="9"/>
      <c r="B774" s="9"/>
      <c r="G774" s="9"/>
      <c r="H774" s="9"/>
    </row>
    <row r="775" spans="1:8" ht="15.75" thickBot="1">
      <c r="A775" s="9"/>
      <c r="B775" s="9"/>
      <c r="G775" s="9"/>
      <c r="H775" s="9"/>
    </row>
    <row r="776" spans="1:8" ht="15.75" thickBot="1">
      <c r="A776" s="9"/>
      <c r="B776" s="9"/>
      <c r="G776" s="9"/>
      <c r="H776" s="9"/>
    </row>
    <row r="777" spans="1:8" ht="15.75" thickBot="1">
      <c r="A777" s="9"/>
      <c r="B777" s="9"/>
      <c r="G777" s="9"/>
      <c r="H777" s="9"/>
    </row>
    <row r="778" spans="1:8" ht="15.75" thickBot="1">
      <c r="A778" s="9"/>
      <c r="B778" s="9"/>
      <c r="G778" s="9"/>
      <c r="H778" s="9"/>
    </row>
    <row r="779" spans="1:8" ht="15.75" thickBot="1">
      <c r="A779" s="9"/>
      <c r="B779" s="9"/>
      <c r="G779" s="9"/>
      <c r="H779" s="9"/>
    </row>
    <row r="780" spans="1:8" ht="15.75" thickBot="1">
      <c r="A780" s="9"/>
      <c r="B780" s="9"/>
      <c r="G780" s="9"/>
      <c r="H780" s="9"/>
    </row>
    <row r="781" spans="1:8" ht="15.75" thickBot="1">
      <c r="A781" s="9"/>
      <c r="B781" s="9"/>
      <c r="G781" s="9"/>
      <c r="H781" s="9"/>
    </row>
    <row r="782" spans="1:8" ht="15.75" thickBot="1">
      <c r="A782" s="9"/>
      <c r="B782" s="9"/>
      <c r="G782" s="9"/>
      <c r="H782" s="9"/>
    </row>
    <row r="783" spans="1:8" ht="15.75" thickBot="1">
      <c r="A783" s="9"/>
      <c r="B783" s="9"/>
      <c r="G783" s="9"/>
      <c r="H783" s="9"/>
    </row>
    <row r="784" spans="1:8" ht="15.75" thickBot="1">
      <c r="A784" s="9"/>
      <c r="B784" s="9"/>
      <c r="G784" s="9"/>
      <c r="H784" s="9"/>
    </row>
    <row r="785" spans="1:8" ht="15.75" thickBot="1">
      <c r="A785" s="9"/>
      <c r="B785" s="9"/>
      <c r="G785" s="9"/>
      <c r="H785" s="9"/>
    </row>
    <row r="786" spans="1:8" ht="15.75" thickBot="1">
      <c r="A786" s="9"/>
      <c r="B786" s="9"/>
      <c r="G786" s="9"/>
      <c r="H786" s="9"/>
    </row>
    <row r="787" spans="1:8" ht="15.75" thickBot="1">
      <c r="A787" s="9"/>
      <c r="B787" s="9"/>
      <c r="G787" s="9"/>
      <c r="H787" s="9"/>
    </row>
    <row r="788" spans="1:8" ht="15.75" thickBot="1">
      <c r="A788" s="9"/>
      <c r="B788" s="9"/>
      <c r="G788" s="9"/>
      <c r="H788" s="9"/>
    </row>
    <row r="789" spans="1:8" ht="15.75" thickBot="1">
      <c r="A789" s="9"/>
      <c r="B789" s="9"/>
      <c r="G789" s="9"/>
      <c r="H789" s="9"/>
    </row>
    <row r="790" spans="1:8" ht="15.75" thickBot="1">
      <c r="A790" s="9"/>
      <c r="B790" s="9"/>
      <c r="G790" s="9"/>
      <c r="H790" s="9"/>
    </row>
    <row r="791" spans="1:8" ht="15.75" thickBot="1">
      <c r="A791" s="9"/>
      <c r="B791" s="9"/>
      <c r="G791" s="9"/>
      <c r="H791" s="9"/>
    </row>
    <row r="792" spans="1:8" ht="15.75" thickBot="1">
      <c r="A792" s="9"/>
      <c r="B792" s="9"/>
      <c r="G792" s="9"/>
      <c r="H792" s="9"/>
    </row>
    <row r="793" spans="1:8" ht="15.75" thickBot="1">
      <c r="A793" s="9"/>
      <c r="B793" s="9"/>
      <c r="G793" s="9"/>
      <c r="H793" s="9"/>
    </row>
    <row r="794" spans="1:8" ht="15.75" thickBot="1">
      <c r="A794" s="9"/>
      <c r="B794" s="9"/>
      <c r="G794" s="9"/>
      <c r="H794" s="9"/>
    </row>
    <row r="795" spans="1:8" ht="15.75" thickBot="1">
      <c r="A795" s="9"/>
      <c r="B795" s="9"/>
      <c r="G795" s="9"/>
      <c r="H795" s="9"/>
    </row>
    <row r="796" spans="1:8" ht="15.75" thickBot="1">
      <c r="A796" s="9"/>
      <c r="B796" s="9"/>
      <c r="G796" s="9"/>
      <c r="H796" s="9"/>
    </row>
    <row r="797" spans="1:8" ht="15.75" thickBot="1">
      <c r="A797" s="9"/>
      <c r="B797" s="9"/>
      <c r="G797" s="9"/>
      <c r="H797" s="9"/>
    </row>
    <row r="798" spans="1:8" ht="15.75" thickBot="1">
      <c r="A798" s="9"/>
      <c r="B798" s="9"/>
      <c r="G798" s="9"/>
      <c r="H798" s="9"/>
    </row>
    <row r="799" spans="1:8" ht="15.75" thickBot="1">
      <c r="A799" s="9"/>
      <c r="B799" s="9"/>
      <c r="G799" s="9"/>
      <c r="H799" s="9"/>
    </row>
    <row r="800" spans="1:8" ht="15.75" thickBot="1">
      <c r="A800" s="9"/>
      <c r="B800" s="9"/>
      <c r="G800" s="9"/>
      <c r="H800" s="9"/>
    </row>
    <row r="801" spans="1:8" ht="15.75" thickBot="1">
      <c r="A801" s="9"/>
      <c r="B801" s="9"/>
      <c r="G801" s="9"/>
      <c r="H801" s="9"/>
    </row>
    <row r="802" spans="1:8" ht="15.75" thickBot="1">
      <c r="A802" s="9"/>
      <c r="B802" s="9"/>
      <c r="G802" s="9"/>
      <c r="H802" s="9"/>
    </row>
    <row r="803" spans="1:8" ht="15.75" thickBot="1">
      <c r="A803" s="9"/>
      <c r="B803" s="9"/>
      <c r="G803" s="9"/>
      <c r="H803" s="9"/>
    </row>
    <row r="804" spans="1:8" ht="15.75" thickBot="1">
      <c r="A804" s="9"/>
      <c r="B804" s="9"/>
      <c r="G804" s="9"/>
      <c r="H804" s="9"/>
    </row>
    <row r="805" spans="1:8" ht="15.75" thickBot="1">
      <c r="A805" s="9"/>
      <c r="B805" s="9"/>
      <c r="G805" s="9"/>
      <c r="H805" s="9"/>
    </row>
    <row r="806" spans="1:8" ht="15.75" thickBot="1">
      <c r="A806" s="9"/>
      <c r="B806" s="9"/>
      <c r="G806" s="9"/>
      <c r="H806" s="9"/>
    </row>
    <row r="807" spans="1:8" ht="15.75" thickBot="1">
      <c r="A807" s="9"/>
      <c r="B807" s="9"/>
      <c r="G807" s="9"/>
      <c r="H807" s="9"/>
    </row>
    <row r="808" spans="1:8" ht="15.75" thickBot="1">
      <c r="A808" s="9"/>
      <c r="B808" s="9"/>
      <c r="G808" s="9"/>
      <c r="H808" s="9"/>
    </row>
    <row r="809" spans="1:8" ht="15.75" thickBot="1">
      <c r="A809" s="9"/>
      <c r="B809" s="9"/>
      <c r="G809" s="9"/>
      <c r="H809" s="9"/>
    </row>
    <row r="810" spans="1:8" ht="15.75" thickBot="1">
      <c r="A810" s="9"/>
      <c r="B810" s="9"/>
      <c r="G810" s="9"/>
      <c r="H810" s="9"/>
    </row>
    <row r="811" spans="1:8" ht="15.75" thickBot="1">
      <c r="A811" s="9"/>
      <c r="B811" s="9"/>
      <c r="G811" s="9"/>
      <c r="H811" s="9"/>
    </row>
    <row r="812" spans="1:8" ht="15.75" thickBot="1">
      <c r="A812" s="9"/>
      <c r="B812" s="9"/>
      <c r="G812" s="9"/>
      <c r="H812" s="9"/>
    </row>
    <row r="813" spans="1:8" ht="15.75" thickBot="1">
      <c r="A813" s="9"/>
      <c r="B813" s="9"/>
      <c r="G813" s="9"/>
      <c r="H813" s="9"/>
    </row>
    <row r="814" spans="1:8" ht="15.75" thickBot="1">
      <c r="A814" s="9"/>
      <c r="B814" s="9"/>
      <c r="G814" s="9"/>
      <c r="H814" s="9"/>
    </row>
    <row r="815" spans="1:8" ht="15.75" thickBot="1">
      <c r="A815" s="9"/>
      <c r="B815" s="9"/>
      <c r="G815" s="9"/>
      <c r="H815" s="9"/>
    </row>
    <row r="816" spans="1:8" ht="15.75" thickBot="1">
      <c r="A816" s="9"/>
      <c r="B816" s="9"/>
      <c r="G816" s="9"/>
      <c r="H816" s="9"/>
    </row>
    <row r="817" spans="1:8" ht="15.75" thickBot="1">
      <c r="A817" s="9"/>
      <c r="B817" s="9"/>
      <c r="G817" s="9"/>
      <c r="H817" s="9"/>
    </row>
    <row r="818" spans="1:8" ht="15.75" thickBot="1">
      <c r="A818" s="9"/>
      <c r="B818" s="9"/>
      <c r="G818" s="9"/>
      <c r="H818" s="9"/>
    </row>
    <row r="819" spans="1:8" ht="15.75" thickBot="1">
      <c r="A819" s="9"/>
      <c r="B819" s="9"/>
      <c r="G819" s="9"/>
      <c r="H819" s="9"/>
    </row>
    <row r="820" spans="1:8" ht="15.75" thickBot="1">
      <c r="A820" s="9"/>
      <c r="B820" s="9"/>
      <c r="G820" s="9"/>
      <c r="H820" s="9"/>
    </row>
    <row r="821" spans="1:8" ht="15.75" thickBot="1">
      <c r="A821" s="9"/>
      <c r="B821" s="9"/>
      <c r="G821" s="9"/>
      <c r="H821" s="9"/>
    </row>
    <row r="822" spans="1:8" ht="15.75" thickBot="1">
      <c r="A822" s="9"/>
      <c r="B822" s="9"/>
      <c r="G822" s="9"/>
      <c r="H822" s="9"/>
    </row>
    <row r="823" spans="1:8" ht="15.75" thickBot="1">
      <c r="A823" s="9"/>
      <c r="B823" s="9"/>
      <c r="G823" s="9"/>
      <c r="H823" s="9"/>
    </row>
    <row r="824" spans="1:8" ht="15.75" thickBot="1">
      <c r="A824" s="9"/>
      <c r="B824" s="9"/>
      <c r="G824" s="9"/>
      <c r="H824" s="9"/>
    </row>
    <row r="825" spans="1:8" ht="15.75" thickBot="1">
      <c r="A825" s="9"/>
      <c r="B825" s="9"/>
      <c r="G825" s="9"/>
      <c r="H825" s="9"/>
    </row>
    <row r="826" spans="1:8" ht="15.75" thickBot="1">
      <c r="A826" s="9"/>
      <c r="B826" s="9"/>
      <c r="G826" s="9"/>
      <c r="H826" s="9"/>
    </row>
    <row r="827" spans="1:8" ht="15.75" thickBot="1">
      <c r="A827" s="9"/>
      <c r="B827" s="9"/>
      <c r="G827" s="9"/>
      <c r="H827" s="9"/>
    </row>
    <row r="828" spans="1:8" ht="15.75" thickBot="1">
      <c r="A828" s="9"/>
      <c r="B828" s="9"/>
      <c r="G828" s="9"/>
      <c r="H828" s="9"/>
    </row>
    <row r="829" spans="1:8" ht="15.75" thickBot="1">
      <c r="A829" s="9"/>
      <c r="B829" s="9"/>
      <c r="G829" s="9"/>
      <c r="H829" s="9"/>
    </row>
    <row r="830" spans="1:8" ht="15.75" thickBot="1">
      <c r="A830" s="9"/>
      <c r="B830" s="9"/>
      <c r="G830" s="9"/>
      <c r="H830" s="9"/>
    </row>
    <row r="831" spans="1:8" ht="15.75" thickBot="1">
      <c r="A831" s="9"/>
      <c r="B831" s="9"/>
      <c r="G831" s="9"/>
      <c r="H831" s="9"/>
    </row>
    <row r="832" spans="1:8" ht="15.75" thickBot="1">
      <c r="A832" s="9"/>
      <c r="B832" s="9"/>
      <c r="G832" s="9"/>
      <c r="H832" s="9"/>
    </row>
    <row r="833" spans="1:8" ht="15.75" thickBot="1">
      <c r="A833" s="9"/>
      <c r="B833" s="9"/>
      <c r="G833" s="9"/>
      <c r="H833" s="9"/>
    </row>
    <row r="834" spans="1:8" ht="15.75" thickBot="1">
      <c r="A834" s="9"/>
      <c r="B834" s="9"/>
      <c r="G834" s="9"/>
      <c r="H834" s="9"/>
    </row>
    <row r="835" spans="1:8" ht="15.75" thickBot="1">
      <c r="A835" s="9"/>
      <c r="B835" s="9"/>
      <c r="G835" s="9"/>
      <c r="H835" s="9"/>
    </row>
    <row r="836" spans="1:8" ht="15.75" thickBot="1">
      <c r="A836" s="9"/>
      <c r="B836" s="9"/>
      <c r="G836" s="9"/>
      <c r="H836" s="9"/>
    </row>
    <row r="837" spans="1:8" ht="15.75" thickBot="1">
      <c r="A837" s="9"/>
      <c r="B837" s="9"/>
      <c r="G837" s="9"/>
      <c r="H837" s="9"/>
    </row>
    <row r="838" spans="1:8" ht="15.75" thickBot="1">
      <c r="A838" s="9"/>
      <c r="B838" s="9"/>
      <c r="G838" s="9"/>
      <c r="H838" s="9"/>
    </row>
    <row r="839" spans="1:8" ht="15.75" thickBot="1">
      <c r="A839" s="9"/>
      <c r="B839" s="9"/>
      <c r="G839" s="9"/>
      <c r="H839" s="9"/>
    </row>
    <row r="840" spans="1:8" ht="15.75" thickBot="1">
      <c r="A840" s="9"/>
      <c r="B840" s="9"/>
      <c r="G840" s="9"/>
      <c r="H840" s="9"/>
    </row>
    <row r="841" spans="1:8" ht="15.75" thickBot="1">
      <c r="A841" s="9"/>
      <c r="B841" s="9"/>
      <c r="G841" s="9"/>
      <c r="H841" s="9"/>
    </row>
    <row r="842" spans="1:8" ht="15.75" thickBot="1">
      <c r="A842" s="9"/>
      <c r="B842" s="9"/>
      <c r="G842" s="9"/>
      <c r="H842" s="9"/>
    </row>
    <row r="843" spans="1:8" ht="15.75" thickBot="1">
      <c r="A843" s="9"/>
      <c r="B843" s="9"/>
      <c r="G843" s="9"/>
      <c r="H843" s="9"/>
    </row>
    <row r="844" spans="1:8" ht="15.75" thickBot="1">
      <c r="A844" s="9"/>
      <c r="B844" s="9"/>
      <c r="G844" s="9"/>
      <c r="H844" s="9"/>
    </row>
    <row r="845" spans="1:8" ht="15.75" thickBot="1">
      <c r="A845" s="9"/>
      <c r="B845" s="9"/>
      <c r="G845" s="9"/>
      <c r="H845" s="9"/>
    </row>
    <row r="846" spans="1:8" ht="15.75" thickBot="1">
      <c r="A846" s="9"/>
      <c r="B846" s="9"/>
      <c r="G846" s="9"/>
      <c r="H846" s="9"/>
    </row>
    <row r="847" spans="1:8" ht="15.75" thickBot="1">
      <c r="A847" s="9"/>
      <c r="B847" s="9"/>
      <c r="G847" s="9"/>
      <c r="H847" s="9"/>
    </row>
    <row r="848" spans="1:8" ht="15.75" thickBot="1">
      <c r="A848" s="9"/>
      <c r="B848" s="9"/>
      <c r="G848" s="9"/>
      <c r="H848" s="9"/>
    </row>
    <row r="849" spans="1:8" ht="15.75" thickBot="1">
      <c r="A849" s="9"/>
      <c r="B849" s="9"/>
      <c r="G849" s="9"/>
      <c r="H849" s="9"/>
    </row>
    <row r="850" spans="1:8" ht="15.75" thickBot="1">
      <c r="A850" s="9"/>
      <c r="B850" s="9"/>
      <c r="G850" s="9"/>
      <c r="H850" s="9"/>
    </row>
    <row r="851" spans="1:8" ht="15.75" thickBot="1">
      <c r="A851" s="9"/>
      <c r="B851" s="9"/>
      <c r="G851" s="9"/>
      <c r="H851" s="9"/>
    </row>
    <row r="852" spans="1:8" ht="15.75" thickBot="1">
      <c r="A852" s="9"/>
      <c r="B852" s="9"/>
      <c r="G852" s="9"/>
      <c r="H852" s="9"/>
    </row>
    <row r="853" spans="1:8" ht="15.75" thickBot="1">
      <c r="A853" s="9"/>
      <c r="B853" s="9"/>
      <c r="G853" s="9"/>
      <c r="H853" s="9"/>
    </row>
    <row r="854" spans="1:8" ht="15.75" thickBot="1">
      <c r="A854" s="9"/>
      <c r="B854" s="9"/>
      <c r="G854" s="9"/>
      <c r="H854" s="9"/>
    </row>
    <row r="855" spans="1:8" ht="15.75" thickBot="1">
      <c r="A855" s="9"/>
      <c r="B855" s="9"/>
      <c r="G855" s="9"/>
      <c r="H855" s="9"/>
    </row>
    <row r="856" spans="1:8" ht="15.75" thickBot="1">
      <c r="A856" s="9"/>
      <c r="B856" s="9"/>
      <c r="G856" s="9"/>
      <c r="H856" s="9"/>
    </row>
    <row r="857" spans="1:8" ht="15.75" thickBot="1">
      <c r="A857" s="9"/>
      <c r="B857" s="9"/>
      <c r="G857" s="9"/>
      <c r="H857" s="9"/>
    </row>
    <row r="858" spans="1:8" ht="15.75" thickBot="1">
      <c r="A858" s="9"/>
      <c r="B858" s="9"/>
      <c r="G858" s="9"/>
      <c r="H858" s="9"/>
    </row>
    <row r="859" spans="1:8" ht="15.75" thickBot="1">
      <c r="A859" s="9"/>
      <c r="B859" s="9"/>
      <c r="G859" s="9"/>
      <c r="H859" s="9"/>
    </row>
    <row r="860" spans="1:8" ht="15.75" thickBot="1">
      <c r="A860" s="9"/>
      <c r="B860" s="9"/>
      <c r="G860" s="9"/>
      <c r="H860" s="9"/>
    </row>
    <row r="861" spans="1:8" ht="15.75" thickBot="1">
      <c r="A861" s="9"/>
      <c r="B861" s="9"/>
      <c r="G861" s="9"/>
      <c r="H861" s="9"/>
    </row>
    <row r="862" spans="1:8" ht="15.75" thickBot="1">
      <c r="A862" s="9"/>
      <c r="B862" s="9"/>
      <c r="G862" s="9"/>
      <c r="H862" s="9"/>
    </row>
    <row r="863" spans="1:8" ht="15.75" thickBot="1">
      <c r="A863" s="9"/>
      <c r="B863" s="9"/>
      <c r="G863" s="9"/>
      <c r="H863" s="9"/>
    </row>
    <row r="864" spans="1:8" ht="15.75" thickBot="1">
      <c r="A864" s="9"/>
      <c r="B864" s="9"/>
      <c r="G864" s="9"/>
      <c r="H864" s="9"/>
    </row>
    <row r="865" spans="1:8" ht="15.75" thickBot="1">
      <c r="A865" s="9"/>
      <c r="B865" s="9"/>
      <c r="G865" s="9"/>
      <c r="H865" s="9"/>
    </row>
    <row r="866" spans="1:8" ht="15.75" thickBot="1">
      <c r="A866" s="9"/>
      <c r="B866" s="9"/>
      <c r="G866" s="9"/>
      <c r="H866" s="9"/>
    </row>
    <row r="867" spans="1:8" ht="15.75" thickBot="1">
      <c r="A867" s="9"/>
      <c r="B867" s="9"/>
      <c r="G867" s="9"/>
      <c r="H867" s="9"/>
    </row>
    <row r="868" spans="1:8" ht="15.75" thickBot="1">
      <c r="A868" s="9"/>
      <c r="B868" s="9"/>
      <c r="G868" s="9"/>
      <c r="H868" s="9"/>
    </row>
    <row r="869" spans="1:8" ht="15.75" thickBot="1">
      <c r="A869" s="9"/>
      <c r="B869" s="9"/>
      <c r="G869" s="9"/>
      <c r="H869" s="9"/>
    </row>
    <row r="870" spans="1:8" ht="15.75" thickBot="1">
      <c r="A870" s="9"/>
      <c r="B870" s="9"/>
      <c r="G870" s="9"/>
      <c r="H870" s="9"/>
    </row>
    <row r="871" spans="1:8" ht="15.75" thickBot="1">
      <c r="A871" s="9"/>
      <c r="B871" s="9"/>
      <c r="G871" s="9"/>
      <c r="H871" s="9"/>
    </row>
    <row r="872" spans="1:8" ht="15.75" thickBot="1">
      <c r="A872" s="9"/>
      <c r="B872" s="9"/>
      <c r="G872" s="9"/>
      <c r="H872" s="9"/>
    </row>
    <row r="873" spans="1:8" ht="15.75" thickBot="1">
      <c r="A873" s="9"/>
      <c r="B873" s="9"/>
      <c r="G873" s="9"/>
      <c r="H873" s="9"/>
    </row>
    <row r="874" spans="1:8" ht="15.75" thickBot="1">
      <c r="A874" s="9"/>
      <c r="B874" s="9"/>
      <c r="G874" s="9"/>
      <c r="H874" s="9"/>
    </row>
    <row r="875" spans="1:8" ht="15.75" thickBot="1">
      <c r="A875" s="9"/>
      <c r="B875" s="9"/>
      <c r="G875" s="9"/>
      <c r="H875" s="9"/>
    </row>
    <row r="876" spans="1:8" ht="15.75" thickBot="1">
      <c r="A876" s="9"/>
      <c r="B876" s="9"/>
      <c r="G876" s="9"/>
      <c r="H876" s="9"/>
    </row>
    <row r="877" spans="1:8" ht="15.75" thickBot="1">
      <c r="A877" s="9"/>
      <c r="B877" s="9"/>
      <c r="G877" s="9"/>
      <c r="H877" s="9"/>
    </row>
    <row r="878" spans="1:8" ht="15.75" thickBot="1">
      <c r="A878" s="9"/>
      <c r="B878" s="9"/>
      <c r="G878" s="9"/>
      <c r="H878" s="9"/>
    </row>
    <row r="879" spans="1:8" ht="15.75" thickBot="1">
      <c r="A879" s="9"/>
      <c r="B879" s="9"/>
      <c r="G879" s="9"/>
      <c r="H879" s="9"/>
    </row>
    <row r="880" spans="1:8" ht="15.75" thickBot="1">
      <c r="A880" s="9"/>
      <c r="B880" s="9"/>
      <c r="G880" s="9"/>
      <c r="H880" s="9"/>
    </row>
    <row r="881" spans="1:8" ht="15.75" thickBot="1">
      <c r="A881" s="9"/>
      <c r="B881" s="9"/>
      <c r="G881" s="9"/>
      <c r="H881" s="9"/>
    </row>
    <row r="882" spans="1:8" ht="15.75" thickBot="1">
      <c r="A882" s="9"/>
      <c r="B882" s="9"/>
      <c r="G882" s="9"/>
      <c r="H882" s="9"/>
    </row>
    <row r="883" spans="1:8" ht="15.75" thickBot="1">
      <c r="A883" s="9"/>
      <c r="B883" s="9"/>
      <c r="G883" s="9"/>
      <c r="H883" s="9"/>
    </row>
    <row r="884" spans="1:8" ht="15.75" thickBot="1">
      <c r="A884" s="9"/>
      <c r="B884" s="9"/>
      <c r="G884" s="9"/>
      <c r="H884" s="9"/>
    </row>
    <row r="885" spans="1:8" ht="15.75" thickBot="1">
      <c r="A885" s="9"/>
      <c r="B885" s="9"/>
      <c r="G885" s="9"/>
      <c r="H885" s="9"/>
    </row>
    <row r="886" spans="1:8" ht="15.75" thickBot="1">
      <c r="A886" s="9"/>
      <c r="B886" s="9"/>
      <c r="G886" s="9"/>
      <c r="H886" s="9"/>
    </row>
    <row r="887" spans="1:8" ht="15.75" thickBot="1">
      <c r="A887" s="9"/>
      <c r="B887" s="9"/>
      <c r="G887" s="9"/>
      <c r="H887" s="9"/>
    </row>
    <row r="888" spans="1:8" ht="15.75" thickBot="1">
      <c r="A888" s="9"/>
      <c r="B888" s="9"/>
      <c r="G888" s="9"/>
      <c r="H888" s="9"/>
    </row>
    <row r="889" spans="1:8" ht="15.75" thickBot="1">
      <c r="A889" s="9"/>
      <c r="B889" s="9"/>
      <c r="G889" s="9"/>
      <c r="H889" s="9"/>
    </row>
    <row r="890" spans="1:8" ht="15.75" thickBot="1">
      <c r="A890" s="9"/>
      <c r="B890" s="9"/>
      <c r="G890" s="9"/>
      <c r="H890" s="9"/>
    </row>
    <row r="891" spans="1:8" ht="15.75" thickBot="1">
      <c r="A891" s="9"/>
      <c r="B891" s="9"/>
      <c r="G891" s="9"/>
      <c r="H891" s="9"/>
    </row>
    <row r="892" spans="1:8" ht="15.75" thickBot="1">
      <c r="A892" s="9"/>
      <c r="B892" s="9"/>
      <c r="G892" s="9"/>
      <c r="H892" s="9"/>
    </row>
    <row r="893" spans="1:8" ht="15.75" thickBot="1">
      <c r="A893" s="9"/>
      <c r="B893" s="9"/>
      <c r="G893" s="9"/>
      <c r="H893" s="9"/>
    </row>
    <row r="894" spans="1:8" ht="15.75" thickBot="1">
      <c r="A894" s="9"/>
      <c r="B894" s="9"/>
      <c r="G894" s="9"/>
      <c r="H894" s="9"/>
    </row>
    <row r="895" spans="1:8" ht="15.75" thickBot="1">
      <c r="A895" s="9"/>
      <c r="B895" s="9"/>
      <c r="G895" s="9"/>
      <c r="H895" s="9"/>
    </row>
    <row r="896" spans="1:8" ht="15.75" thickBot="1">
      <c r="A896" s="9"/>
      <c r="B896" s="9"/>
      <c r="G896" s="9"/>
      <c r="H896" s="9"/>
    </row>
    <row r="897" spans="1:8" ht="15.75" thickBot="1">
      <c r="A897" s="9"/>
      <c r="B897" s="9"/>
      <c r="G897" s="9"/>
      <c r="H897" s="9"/>
    </row>
    <row r="898" spans="1:8" ht="15.75" thickBot="1">
      <c r="A898" s="9"/>
      <c r="B898" s="9"/>
      <c r="G898" s="9"/>
      <c r="H898" s="9"/>
    </row>
    <row r="899" spans="1:8" ht="15.75" thickBot="1">
      <c r="A899" s="9"/>
      <c r="B899" s="9"/>
      <c r="G899" s="9"/>
      <c r="H899" s="9"/>
    </row>
    <row r="900" spans="1:8" ht="15.75" thickBot="1">
      <c r="A900" s="9"/>
      <c r="B900" s="9"/>
      <c r="G900" s="9"/>
      <c r="H900" s="9"/>
    </row>
    <row r="901" spans="1:8" ht="15.75" thickBot="1">
      <c r="A901" s="9"/>
      <c r="B901" s="9"/>
      <c r="G901" s="9"/>
      <c r="H901" s="9"/>
    </row>
    <row r="902" spans="1:8" ht="15.75" thickBot="1">
      <c r="A902" s="9"/>
      <c r="B902" s="9"/>
      <c r="G902" s="9"/>
      <c r="H902" s="9"/>
    </row>
    <row r="903" spans="1:8" ht="15.75" thickBot="1">
      <c r="A903" s="9"/>
      <c r="B903" s="9"/>
      <c r="G903" s="9"/>
      <c r="H903" s="9"/>
    </row>
    <row r="904" spans="1:8" ht="15.75" thickBot="1">
      <c r="A904" s="9"/>
      <c r="B904" s="9"/>
      <c r="G904" s="9"/>
      <c r="H904" s="9"/>
    </row>
    <row r="905" spans="1:8" ht="15.75" thickBot="1">
      <c r="A905" s="9"/>
      <c r="B905" s="9"/>
      <c r="G905" s="9"/>
      <c r="H905" s="9"/>
    </row>
    <row r="906" spans="1:8" ht="15.75" thickBot="1">
      <c r="A906" s="9"/>
      <c r="B906" s="9"/>
      <c r="G906" s="9"/>
      <c r="H906" s="9"/>
    </row>
    <row r="907" spans="1:8" ht="15.75" thickBot="1">
      <c r="A907" s="9"/>
      <c r="B907" s="9"/>
      <c r="G907" s="9"/>
      <c r="H907" s="9"/>
    </row>
    <row r="908" spans="1:8" ht="15.75" thickBot="1">
      <c r="A908" s="9"/>
      <c r="B908" s="9"/>
      <c r="G908" s="9"/>
      <c r="H908" s="9"/>
    </row>
    <row r="909" spans="1:8" ht="15.75" thickBot="1">
      <c r="A909" s="9"/>
      <c r="B909" s="9"/>
      <c r="G909" s="9"/>
      <c r="H909" s="9"/>
    </row>
    <row r="910" spans="1:8" ht="15.75" thickBot="1">
      <c r="A910" s="9"/>
      <c r="B910" s="9"/>
      <c r="G910" s="9"/>
      <c r="H910" s="9"/>
    </row>
    <row r="911" spans="1:8" ht="15.75" thickBot="1">
      <c r="A911" s="9"/>
      <c r="B911" s="9"/>
      <c r="G911" s="9"/>
      <c r="H911" s="9"/>
    </row>
    <row r="912" spans="1:8" ht="15.75" thickBot="1">
      <c r="A912" s="9"/>
      <c r="B912" s="9"/>
      <c r="G912" s="9"/>
      <c r="H912" s="9"/>
    </row>
    <row r="913" spans="1:8" ht="15.75" thickBot="1">
      <c r="A913" s="9"/>
      <c r="B913" s="9"/>
      <c r="G913" s="9"/>
      <c r="H913" s="9"/>
    </row>
    <row r="914" spans="1:8" ht="15.75" thickBot="1">
      <c r="A914" s="9"/>
      <c r="B914" s="9"/>
      <c r="G914" s="9"/>
      <c r="H914" s="9"/>
    </row>
    <row r="915" spans="1:8" ht="15.75" thickBot="1">
      <c r="A915" s="9"/>
      <c r="B915" s="9"/>
      <c r="G915" s="9"/>
      <c r="H915" s="9"/>
    </row>
    <row r="916" spans="1:8" ht="15.75" thickBot="1">
      <c r="A916" s="9"/>
      <c r="B916" s="9"/>
      <c r="G916" s="9"/>
      <c r="H916" s="9"/>
    </row>
    <row r="917" spans="1:8" ht="15.75" thickBot="1">
      <c r="A917" s="9"/>
      <c r="B917" s="9"/>
      <c r="G917" s="9"/>
      <c r="H917" s="9"/>
    </row>
    <row r="918" spans="1:8" ht="15.75" thickBot="1">
      <c r="A918" s="9"/>
      <c r="B918" s="9"/>
      <c r="G918" s="9"/>
      <c r="H918" s="9"/>
    </row>
    <row r="919" spans="1:8" ht="15.75" thickBot="1">
      <c r="A919" s="9"/>
      <c r="B919" s="9"/>
      <c r="G919" s="9"/>
      <c r="H919" s="9"/>
    </row>
    <row r="920" spans="1:8" ht="15.75" thickBot="1">
      <c r="A920" s="9"/>
      <c r="B920" s="9"/>
      <c r="G920" s="9"/>
      <c r="H920" s="9"/>
    </row>
    <row r="921" spans="1:8" ht="15.75" thickBot="1">
      <c r="A921" s="9"/>
      <c r="B921" s="9"/>
      <c r="G921" s="9"/>
      <c r="H921" s="9"/>
    </row>
    <row r="922" spans="1:8" ht="15.75" thickBot="1">
      <c r="A922" s="9"/>
      <c r="B922" s="9"/>
      <c r="G922" s="9"/>
      <c r="H922" s="9"/>
    </row>
    <row r="923" spans="1:8" ht="15.75" thickBot="1">
      <c r="A923" s="9"/>
      <c r="B923" s="9"/>
      <c r="G923" s="9"/>
      <c r="H923" s="9"/>
    </row>
    <row r="924" spans="1:8" ht="15.75" thickBot="1">
      <c r="A924" s="9"/>
      <c r="B924" s="9"/>
      <c r="G924" s="9"/>
      <c r="H924" s="9"/>
    </row>
    <row r="925" spans="1:8" ht="15.75" thickBot="1">
      <c r="A925" s="9"/>
      <c r="B925" s="9"/>
      <c r="G925" s="9"/>
      <c r="H925" s="9"/>
    </row>
    <row r="926" spans="1:8" ht="15.75" thickBot="1">
      <c r="A926" s="9"/>
      <c r="B926" s="9"/>
      <c r="G926" s="9"/>
      <c r="H926" s="9"/>
    </row>
    <row r="927" spans="1:8" ht="15.75" thickBot="1">
      <c r="A927" s="9"/>
      <c r="B927" s="9"/>
      <c r="G927" s="9"/>
      <c r="H927" s="9"/>
    </row>
    <row r="928" spans="1:8" ht="15.75" thickBot="1">
      <c r="A928" s="9"/>
      <c r="B928" s="9"/>
      <c r="G928" s="9"/>
      <c r="H928" s="9"/>
    </row>
    <row r="929" spans="1:8" ht="15.75" thickBot="1">
      <c r="A929" s="9"/>
      <c r="B929" s="9"/>
      <c r="G929" s="9"/>
      <c r="H929" s="9"/>
    </row>
    <row r="930" spans="1:8" ht="15.75" thickBot="1">
      <c r="A930" s="9"/>
      <c r="B930" s="9"/>
      <c r="G930" s="9"/>
      <c r="H930" s="9"/>
    </row>
    <row r="931" spans="1:8" ht="15.75" thickBot="1">
      <c r="A931" s="9"/>
      <c r="B931" s="9"/>
      <c r="G931" s="9"/>
      <c r="H931" s="9"/>
    </row>
    <row r="932" spans="1:8" ht="15.75" thickBot="1">
      <c r="A932" s="9"/>
      <c r="B932" s="9"/>
      <c r="G932" s="9"/>
      <c r="H932" s="9"/>
    </row>
    <row r="933" spans="1:8" ht="15.75" thickBot="1">
      <c r="A933" s="9"/>
      <c r="B933" s="9"/>
      <c r="G933" s="9"/>
      <c r="H933" s="9"/>
    </row>
    <row r="934" spans="1:8" ht="15.75" thickBot="1">
      <c r="A934" s="9"/>
      <c r="B934" s="9"/>
      <c r="G934" s="9"/>
      <c r="H934" s="9"/>
    </row>
    <row r="935" spans="1:8" ht="15.75" thickBot="1">
      <c r="A935" s="9"/>
      <c r="B935" s="9"/>
      <c r="G935" s="9"/>
      <c r="H935" s="9"/>
    </row>
    <row r="936" spans="1:8" ht="15.75" thickBot="1">
      <c r="A936" s="9"/>
      <c r="B936" s="9"/>
      <c r="G936" s="9"/>
      <c r="H936" s="9"/>
    </row>
    <row r="937" spans="1:8" ht="15.75" thickBot="1">
      <c r="A937" s="9"/>
      <c r="B937" s="9"/>
      <c r="G937" s="9"/>
      <c r="H937" s="9"/>
    </row>
    <row r="938" spans="1:8" ht="15.75" thickBot="1">
      <c r="A938" s="9"/>
      <c r="B938" s="9"/>
      <c r="G938" s="9"/>
      <c r="H938" s="9"/>
    </row>
    <row r="939" spans="1:8" ht="15.75" thickBot="1">
      <c r="A939" s="9"/>
      <c r="B939" s="9"/>
      <c r="G939" s="9"/>
      <c r="H939" s="9"/>
    </row>
    <row r="940" spans="1:8" ht="15.75" thickBot="1">
      <c r="A940" s="9"/>
      <c r="B940" s="9"/>
      <c r="G940" s="9"/>
      <c r="H940" s="9"/>
    </row>
    <row r="941" spans="1:8" ht="15.75" thickBot="1">
      <c r="A941" s="9"/>
      <c r="B941" s="9"/>
      <c r="G941" s="9"/>
      <c r="H941" s="9"/>
    </row>
    <row r="942" spans="1:8" ht="15.75" thickBot="1">
      <c r="A942" s="9"/>
      <c r="B942" s="9"/>
      <c r="G942" s="9"/>
      <c r="H942" s="9"/>
    </row>
    <row r="943" spans="1:8" ht="15.75" thickBot="1">
      <c r="A943" s="9"/>
      <c r="B943" s="9"/>
      <c r="G943" s="9"/>
      <c r="H943" s="9"/>
    </row>
    <row r="944" spans="1:8" ht="15.75" thickBot="1">
      <c r="A944" s="9"/>
      <c r="B944" s="9"/>
      <c r="G944" s="9"/>
      <c r="H944" s="9"/>
    </row>
    <row r="945" spans="1:8" ht="15.75" thickBot="1">
      <c r="A945" s="9"/>
      <c r="B945" s="9"/>
      <c r="G945" s="9"/>
      <c r="H945" s="9"/>
    </row>
    <row r="946" spans="1:8" ht="15.75" thickBot="1">
      <c r="A946" s="9"/>
      <c r="B946" s="9"/>
      <c r="G946" s="9"/>
      <c r="H946" s="9"/>
    </row>
    <row r="947" spans="1:8" ht="15.75" thickBot="1">
      <c r="A947" s="9"/>
      <c r="B947" s="9"/>
      <c r="G947" s="9"/>
      <c r="H947" s="9"/>
    </row>
    <row r="948" spans="1:8" ht="15.75" thickBot="1">
      <c r="A948" s="9"/>
      <c r="B948" s="9"/>
      <c r="G948" s="9"/>
      <c r="H948" s="9"/>
    </row>
    <row r="949" spans="1:8" ht="15.75" thickBot="1">
      <c r="A949" s="9"/>
      <c r="B949" s="9"/>
      <c r="G949" s="9"/>
      <c r="H949" s="9"/>
    </row>
    <row r="950" spans="1:8" ht="15.75" thickBot="1">
      <c r="A950" s="9"/>
      <c r="B950" s="9"/>
      <c r="G950" s="9"/>
      <c r="H950" s="9"/>
    </row>
    <row r="951" spans="1:8" ht="15.75" thickBot="1">
      <c r="A951" s="9"/>
      <c r="B951" s="9"/>
      <c r="G951" s="9"/>
      <c r="H951" s="9"/>
    </row>
    <row r="952" spans="1:8" ht="15.75" thickBot="1">
      <c r="A952" s="9"/>
      <c r="B952" s="9"/>
      <c r="G952" s="9"/>
      <c r="H952" s="9"/>
    </row>
    <row r="953" spans="1:8" ht="15.75" thickBot="1">
      <c r="A953" s="9"/>
      <c r="B953" s="9"/>
      <c r="G953" s="9"/>
      <c r="H953" s="9"/>
    </row>
    <row r="954" spans="1:8" ht="15.75" thickBot="1">
      <c r="A954" s="9"/>
      <c r="B954" s="9"/>
      <c r="G954" s="9"/>
      <c r="H954" s="9"/>
    </row>
    <row r="955" spans="1:8" ht="15.75" thickBot="1">
      <c r="A955" s="9"/>
      <c r="B955" s="9"/>
      <c r="G955" s="9"/>
      <c r="H955" s="9"/>
    </row>
    <row r="956" spans="1:8" ht="15.75" thickBot="1">
      <c r="A956" s="9"/>
      <c r="B956" s="9"/>
      <c r="G956" s="9"/>
      <c r="H956" s="9"/>
    </row>
    <row r="957" spans="1:8" ht="15.75" thickBot="1">
      <c r="A957" s="9"/>
      <c r="B957" s="9"/>
      <c r="G957" s="9"/>
      <c r="H957" s="9"/>
    </row>
    <row r="958" spans="1:8" ht="15.75" thickBot="1">
      <c r="A958" s="9"/>
      <c r="B958" s="9"/>
      <c r="G958" s="9"/>
      <c r="H958" s="9"/>
    </row>
    <row r="959" spans="1:8" ht="15.75" thickBot="1">
      <c r="A959" s="9"/>
      <c r="B959" s="9"/>
      <c r="G959" s="9"/>
      <c r="H959" s="9"/>
    </row>
    <row r="960" spans="1:8" ht="15.75" thickBot="1">
      <c r="A960" s="9"/>
      <c r="B960" s="9"/>
      <c r="G960" s="9"/>
      <c r="H960" s="9"/>
    </row>
    <row r="961" spans="1:8" ht="15.75" thickBot="1">
      <c r="A961" s="9"/>
      <c r="B961" s="9"/>
      <c r="G961" s="9"/>
      <c r="H961" s="9"/>
    </row>
    <row r="962" spans="1:8" ht="15.75" thickBot="1">
      <c r="A962" s="9"/>
      <c r="B962" s="9"/>
      <c r="G962" s="9"/>
      <c r="H962" s="9"/>
    </row>
    <row r="963" spans="1:8" ht="15.75" thickBot="1">
      <c r="A963" s="9"/>
      <c r="B963" s="9"/>
      <c r="G963" s="9"/>
      <c r="H963" s="9"/>
    </row>
    <row r="964" spans="1:8" ht="15.75" thickBot="1">
      <c r="A964" s="9"/>
      <c r="B964" s="9"/>
      <c r="G964" s="9"/>
      <c r="H964" s="9"/>
    </row>
    <row r="965" spans="1:8" ht="15.75" thickBot="1">
      <c r="A965" s="9"/>
      <c r="B965" s="9"/>
      <c r="G965" s="9"/>
      <c r="H965" s="9"/>
    </row>
    <row r="966" spans="1:8" ht="15.75" thickBot="1">
      <c r="A966" s="9"/>
      <c r="B966" s="9"/>
      <c r="G966" s="9"/>
      <c r="H966" s="9"/>
    </row>
    <row r="967" spans="1:8" ht="15.75" thickBot="1">
      <c r="A967" s="9"/>
      <c r="B967" s="9"/>
      <c r="G967" s="9"/>
      <c r="H967" s="9"/>
    </row>
    <row r="968" spans="1:8" ht="15.75" thickBot="1">
      <c r="A968" s="9"/>
      <c r="B968" s="9"/>
      <c r="G968" s="9"/>
      <c r="H968" s="9"/>
    </row>
    <row r="969" spans="1:8" ht="15.75" thickBot="1">
      <c r="A969" s="9"/>
      <c r="B969" s="9"/>
      <c r="G969" s="9"/>
      <c r="H969" s="9"/>
    </row>
    <row r="970" spans="1:8" ht="15.75" thickBot="1">
      <c r="A970" s="9"/>
      <c r="B970" s="9"/>
      <c r="G970" s="9"/>
      <c r="H970" s="9"/>
    </row>
    <row r="971" spans="1:8" ht="15.75" thickBot="1">
      <c r="A971" s="9"/>
      <c r="B971" s="9"/>
      <c r="G971" s="9"/>
      <c r="H971" s="9"/>
    </row>
    <row r="972" spans="1:8" ht="15.75" thickBot="1">
      <c r="A972" s="9"/>
      <c r="B972" s="9"/>
      <c r="G972" s="9"/>
      <c r="H972" s="9"/>
    </row>
    <row r="973" spans="1:8" ht="15.75" thickBot="1">
      <c r="A973" s="9"/>
      <c r="B973" s="9"/>
      <c r="G973" s="9"/>
      <c r="H973" s="9"/>
    </row>
    <row r="974" spans="1:8" ht="15.75" thickBot="1">
      <c r="A974" s="9"/>
      <c r="B974" s="9"/>
      <c r="G974" s="9"/>
      <c r="H974" s="9"/>
    </row>
    <row r="975" spans="1:8" ht="15.75" thickBot="1">
      <c r="A975" s="9"/>
      <c r="B975" s="9"/>
      <c r="G975" s="9"/>
      <c r="H975" s="9"/>
    </row>
    <row r="976" spans="1:8" ht="15.75" thickBot="1">
      <c r="A976" s="9"/>
      <c r="B976" s="9"/>
      <c r="G976" s="9"/>
      <c r="H976" s="9"/>
    </row>
    <row r="977" spans="1:8" ht="15.75" thickBot="1">
      <c r="A977" s="9"/>
      <c r="B977" s="9"/>
      <c r="G977" s="9"/>
      <c r="H977" s="9"/>
    </row>
    <row r="978" spans="1:8" ht="15.75" thickBot="1">
      <c r="A978" s="9"/>
      <c r="B978" s="9"/>
      <c r="G978" s="9"/>
      <c r="H978" s="9"/>
    </row>
    <row r="979" spans="1:8" ht="15.75" thickBot="1">
      <c r="A979" s="9"/>
      <c r="B979" s="9"/>
      <c r="G979" s="9"/>
      <c r="H979" s="9"/>
    </row>
    <row r="980" spans="1:8" ht="15.75" thickBot="1">
      <c r="A980" s="9"/>
      <c r="B980" s="9"/>
      <c r="G980" s="9"/>
      <c r="H980" s="9"/>
    </row>
    <row r="981" spans="1:8" ht="15.75" thickBot="1">
      <c r="A981" s="9"/>
      <c r="B981" s="9"/>
      <c r="G981" s="9"/>
      <c r="H981" s="9"/>
    </row>
    <row r="982" spans="1:8" ht="15.75" thickBot="1">
      <c r="A982" s="9"/>
      <c r="B982" s="9"/>
      <c r="G982" s="9"/>
      <c r="H982" s="9"/>
    </row>
    <row r="983" spans="1:8" ht="15.75" thickBot="1">
      <c r="A983" s="9"/>
      <c r="B983" s="9"/>
      <c r="G983" s="9"/>
      <c r="H983" s="9"/>
    </row>
    <row r="984" spans="1:8" ht="15.75" thickBot="1">
      <c r="A984" s="9"/>
      <c r="B984" s="9"/>
      <c r="G984" s="9"/>
      <c r="H984" s="9"/>
    </row>
    <row r="985" spans="1:8" ht="15.75" thickBot="1">
      <c r="A985" s="9"/>
      <c r="B985" s="9"/>
      <c r="G985" s="9"/>
      <c r="H985" s="9"/>
    </row>
    <row r="986" spans="1:8" ht="15.75" thickBot="1">
      <c r="A986" s="9"/>
      <c r="B986" s="9"/>
      <c r="G986" s="9"/>
      <c r="H986" s="9"/>
    </row>
    <row r="987" spans="1:8" ht="15.75" thickBot="1">
      <c r="A987" s="9"/>
      <c r="B987" s="9"/>
      <c r="G987" s="9"/>
      <c r="H987" s="9"/>
    </row>
    <row r="988" spans="1:8" ht="15.75" thickBot="1">
      <c r="A988" s="9"/>
      <c r="B988" s="9"/>
      <c r="G988" s="9"/>
      <c r="H988" s="9"/>
    </row>
    <row r="989" spans="1:8" ht="15.75" thickBot="1">
      <c r="A989" s="9"/>
      <c r="B989" s="9"/>
      <c r="G989" s="9"/>
      <c r="H989" s="9"/>
    </row>
    <row r="990" spans="1:8" ht="15.75" thickBot="1">
      <c r="A990" s="9"/>
      <c r="B990" s="9"/>
      <c r="G990" s="9"/>
      <c r="H990" s="9"/>
    </row>
    <row r="991" spans="1:8" ht="15.75" thickBot="1">
      <c r="A991" s="9"/>
      <c r="B991" s="9"/>
      <c r="G991" s="9"/>
      <c r="H991" s="9"/>
    </row>
    <row r="992" spans="1:8" ht="15.75" thickBot="1">
      <c r="A992" s="9"/>
      <c r="B992" s="9"/>
      <c r="G992" s="9"/>
      <c r="H992" s="9"/>
    </row>
    <row r="993" spans="1:8" ht="15.75" thickBot="1">
      <c r="A993" s="9"/>
      <c r="B993" s="9"/>
      <c r="G993" s="9"/>
      <c r="H993" s="9"/>
    </row>
    <row r="994" spans="1:8" ht="15.75" thickBot="1">
      <c r="A994" s="9"/>
      <c r="B994" s="9"/>
      <c r="G994" s="9"/>
      <c r="H994" s="9"/>
    </row>
    <row r="995" spans="1:8" ht="15.75" thickBot="1">
      <c r="A995" s="9"/>
      <c r="B995" s="9"/>
      <c r="G995" s="9"/>
      <c r="H995" s="9"/>
    </row>
    <row r="996" spans="1:8" ht="15.75" thickBot="1">
      <c r="A996" s="9"/>
      <c r="B996" s="9"/>
      <c r="G996" s="9"/>
      <c r="H996" s="9"/>
    </row>
    <row r="997" spans="1:8" ht="15.75" thickBot="1">
      <c r="A997" s="9"/>
      <c r="B997" s="9"/>
      <c r="G997" s="9"/>
      <c r="H997" s="9"/>
    </row>
    <row r="998" spans="1:8" ht="15.75" thickBot="1">
      <c r="A998" s="9"/>
      <c r="B998" s="9"/>
      <c r="G998" s="9"/>
      <c r="H998" s="9"/>
    </row>
    <row r="999" spans="1:8" ht="15.75" thickBot="1">
      <c r="A999" s="9"/>
      <c r="B999" s="9"/>
      <c r="G999" s="9"/>
      <c r="H999" s="9"/>
    </row>
    <row r="1000" spans="1:8" ht="15.75" thickBot="1">
      <c r="A1000" s="9"/>
      <c r="B1000" s="9"/>
      <c r="G1000" s="9"/>
      <c r="H1000" s="9"/>
    </row>
  </sheetData>
  <pageMargins left="0.7" right="0.7" top="0.75" bottom="0.75" header="0.3" footer="0.3"/>
  <pageSetup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>
      <selection activeCell="C2" sqref="C2"/>
    </sheetView>
  </sheetViews>
  <sheetFormatPr baseColWidth="10" defaultRowHeight="15"/>
  <sheetData>
    <row r="1" spans="1:3" ht="15.75" thickBot="1">
      <c r="A1" s="42" t="s">
        <v>740</v>
      </c>
      <c r="B1" s="43" t="s">
        <v>1118</v>
      </c>
    </row>
    <row r="2" spans="1:3" ht="15.75" thickBot="1">
      <c r="A2" s="21" t="s">
        <v>858</v>
      </c>
      <c r="B2" s="3" t="s">
        <v>0</v>
      </c>
      <c r="C2" t="str">
        <f>"INSERT INTO url(direccion,idFemicidio) VALUES (' "&amp;B2&amp;" ',' "&amp;A2&amp;" '); "</f>
        <v xml:space="preserve">INSERT INTO url(direccion,idFemicidio) VALUES (' http://elproa.cl/web/detallenoticia.asp?id=21793 ',' IP2017ch1 '); </v>
      </c>
    </row>
    <row r="3" spans="1:3" ht="15.75" thickBot="1">
      <c r="A3" s="21" t="s">
        <v>858</v>
      </c>
      <c r="B3" s="3" t="s">
        <v>1</v>
      </c>
      <c r="C3" t="str">
        <f t="shared" ref="C3:C66" si="0">"INSERT INTO url(direccion,idFemicidio) VALUES (' "&amp;B3&amp;" ',' "&amp;A3&amp;" '); "</f>
        <v xml:space="preserve">INSERT INTO url(direccion,idFemicidio) VALUES (' http://www.cablenoticias.cl/en-llolleo-un-hombre-asesino-a-su-mujer-y-luego-se-quito-la-vida ',' IP2017ch1 '); </v>
      </c>
    </row>
    <row r="4" spans="1:3" ht="15.75" thickBot="1">
      <c r="A4" s="21" t="s">
        <v>859</v>
      </c>
      <c r="B4" s="3" t="s">
        <v>2</v>
      </c>
      <c r="C4" t="str">
        <f t="shared" si="0"/>
        <v xml:space="preserve">INSERT INTO url(direccion,idFemicidio) VALUES (' http://www.latercera.com/noticia/buscan-presunto-autor-femicidio-melipilla/ ',' SN2017ch2 '); </v>
      </c>
    </row>
    <row r="5" spans="1:3" ht="15.75" thickBot="1">
      <c r="A5" s="21" t="s">
        <v>859</v>
      </c>
      <c r="B5" s="3" t="s">
        <v>3</v>
      </c>
      <c r="C5" t="str">
        <f t="shared" si="0"/>
        <v xml:space="preserve">INSERT INTO url(direccion,idFemicidio) VALUES (' https://www.eldeber.com.bo/mundo/Boliviana-primera-victima-de-feminicidio-en-Chile-en-2017--20170126-0034.html ',' SN2017ch2 '); </v>
      </c>
    </row>
    <row r="6" spans="1:3" ht="15.75" thickBot="1">
      <c r="A6" s="21" t="s">
        <v>859</v>
      </c>
      <c r="B6" s="3" t="s">
        <v>4</v>
      </c>
      <c r="C6" t="str">
        <f t="shared" si="0"/>
        <v xml:space="preserve">INSERT INTO url(direccion,idFemicidio) VALUES (' http://eju.tv/2017/01/feminicida-confiesa-en-sucre-que-mato-a-su-esposa-en-chile/ ',' SN2017ch2 '); </v>
      </c>
    </row>
    <row r="7" spans="1:3" ht="15.75" thickBot="1">
      <c r="A7" s="21" t="s">
        <v>859</v>
      </c>
      <c r="B7" s="3" t="s">
        <v>5</v>
      </c>
      <c r="C7" t="str">
        <f t="shared" si="0"/>
        <v xml:space="preserve">INSERT INTO url(direccion,idFemicidio) VALUES (' http://www.cooperativa.cl/noticias/pais/policial/femicidio/pdi-busca-a-pareja-e-hija-de-mujer-asesinada-en-melipilla/2017-01-25/151234.html ',' SN2017ch2 '); </v>
      </c>
    </row>
    <row r="8" spans="1:3" ht="15.75" thickBot="1">
      <c r="A8" s="21" t="s">
        <v>859</v>
      </c>
      <c r="B8" s="3" t="s">
        <v>6</v>
      </c>
      <c r="C8" t="str">
        <f t="shared" si="0"/>
        <v xml:space="preserve">INSERT INTO url(direccion,idFemicidio) VALUES (' http://www.cooperativa.cl/noticias/pais/policial/femicidio/pareja-de-mujer-asesinada-en-melipilla-confeso-el-crimen-en-bolivia/2017-01-27/125517.html ',' SN2017ch2 '); </v>
      </c>
    </row>
    <row r="9" spans="1:3" ht="15.75" thickBot="1">
      <c r="A9" s="21" t="s">
        <v>859</v>
      </c>
      <c r="B9" s="3" t="s">
        <v>7</v>
      </c>
      <c r="C9" t="str">
        <f t="shared" si="0"/>
        <v xml:space="preserve">INSERT INTO url(direccion,idFemicidio) VALUES (' http://www.la-razon.com/sociedad/Chile-boliviana-primera-victima-feminicidio-2017_0_2644535562.html ',' SN2017ch2 '); </v>
      </c>
    </row>
    <row r="10" spans="1:3" ht="15.75" thickBot="1">
      <c r="A10" s="21" t="s">
        <v>859</v>
      </c>
      <c r="B10" s="3" t="s">
        <v>8</v>
      </c>
      <c r="C10" t="str">
        <f t="shared" si="0"/>
        <v xml:space="preserve">INSERT INTO url(direccion,idFemicidio) VALUES (' https://www.noticiasfides.com/nacional/seguridad/la-primera-victima-de-feminicidio-en-chile-en-lo-que-va-del-ano-es-una-boliviana-374886 ',' SN2017ch2 '); </v>
      </c>
    </row>
    <row r="11" spans="1:3" ht="15.75" thickBot="1">
      <c r="A11" s="21" t="s">
        <v>860</v>
      </c>
      <c r="B11" s="3" t="s">
        <v>9</v>
      </c>
      <c r="C11" t="str">
        <f t="shared" si="0"/>
        <v xml:space="preserve">INSERT INTO url(direccion,idFemicidio) VALUES (' https://docs.google.com/spreadsheets/d/1OY8YymIGJzEYTBVKwpkGE-vDsYz3rKSjNe1TUj3qt40/edit?ts=588a2a74#gid=0 ',' LH2017ch3 '); </v>
      </c>
    </row>
    <row r="12" spans="1:3" ht="15.75" thickBot="1">
      <c r="A12" s="21" t="s">
        <v>860</v>
      </c>
      <c r="B12" s="3" t="s">
        <v>10</v>
      </c>
      <c r="C12" t="str">
        <f t="shared" si="0"/>
        <v xml:space="preserve">INSERT INTO url(direccion,idFemicidio) VALUES (' http://www.ntn24.com/video/nuevo-caso-de-feminicidio-en-chile-130962 ',' LH2017ch3 '); </v>
      </c>
    </row>
    <row r="13" spans="1:3" ht="15.75" thickBot="1">
      <c r="A13" s="21" t="s">
        <v>860</v>
      </c>
      <c r="B13" s="3" t="s">
        <v>11</v>
      </c>
      <c r="C13" t="str">
        <f t="shared" si="0"/>
        <v xml:space="preserve">INSERT INTO url(direccion,idFemicidio) VALUES (' http://www.noticiasrcn.com/videos/colombiana-habria-sido-asesinada-su-expareja-tambien-colombiano-chile ',' LH2017ch3 '); </v>
      </c>
    </row>
    <row r="14" spans="1:3" ht="15.75" thickBot="1">
      <c r="A14" s="21" t="s">
        <v>860</v>
      </c>
      <c r="B14" s="3" t="s">
        <v>12</v>
      </c>
      <c r="C14" t="str">
        <f t="shared" si="0"/>
        <v xml:space="preserve">INSERT INTO url(direccion,idFemicidio) VALUES (' http://www.minmujeryeg.cl/prensa/noticias-prensa/no-queremos-las-mujeres-migrantes-se-sientan-desprotegidas-necesitamos-se-atrevan-denunciar-cuando-estan-viviendo-violencia/ ',' LH2017ch3 '); </v>
      </c>
    </row>
    <row r="15" spans="1:3" ht="15.75" thickBot="1">
      <c r="A15" s="21" t="s">
        <v>860</v>
      </c>
      <c r="B15" s="3" t="s">
        <v>13</v>
      </c>
      <c r="C15" t="str">
        <f t="shared" si="0"/>
        <v xml:space="preserve">INSERT INTO url(direccion,idFemicidio) VALUES (' http://www.eldesconcierto.cl/2017/02/09/femicidio-en-san-bernardo-es-el-septimo-perpetrado-durante-los-primeros-meses-de-2017/ ',' LH2017ch3 '); </v>
      </c>
    </row>
    <row r="16" spans="1:3" ht="15.75" thickBot="1">
      <c r="A16" s="21" t="s">
        <v>861</v>
      </c>
      <c r="B16" s="3" t="s">
        <v>14</v>
      </c>
      <c r="C16" t="str">
        <f t="shared" si="0"/>
        <v xml:space="preserve">INSERT INTO url(direccion,idFemicidio) VALUES (' https://www.araucaniacuenta.cl/ministra-s-perez-condeno-energicamente-el-femicidio-de-carmen-vazquez-de-la-comuna-de-san-javier/ ',' CV2017ch4 '); </v>
      </c>
    </row>
    <row r="17" spans="1:3" ht="15.75" thickBot="1">
      <c r="A17" s="21" t="s">
        <v>861</v>
      </c>
      <c r="B17" s="3" t="s">
        <v>15</v>
      </c>
      <c r="C17" t="str">
        <f t="shared" si="0"/>
        <v xml:space="preserve">INSERT INTO url(direccion,idFemicidio) VALUES (' http://www.diarioelcentro.cl/noticias/policial/primer-femicidio-del-ano-se-registro-ayer-en-carrizal ',' CV2017ch4 '); </v>
      </c>
    </row>
    <row r="18" spans="1:3" ht="15.75" thickBot="1">
      <c r="A18" s="21" t="s">
        <v>861</v>
      </c>
      <c r="B18" s="3" t="s">
        <v>16</v>
      </c>
      <c r="C18" t="str">
        <f t="shared" si="0"/>
        <v xml:space="preserve">INSERT INTO url(direccion,idFemicidio) VALUES (' http://lanacion.cl/2017/02/06/ministra-s-de-la-mujer-repudio-femicidio-de-carmen-vasquez/ ',' CV2017ch4 '); </v>
      </c>
    </row>
    <row r="19" spans="1:3" ht="15.75" thickBot="1">
      <c r="A19" s="21" t="s">
        <v>861</v>
      </c>
      <c r="B19" s="3" t="s">
        <v>17</v>
      </c>
      <c r="C19" t="str">
        <f t="shared" si="0"/>
        <v xml:space="preserve">INSERT INTO url(direccion,idFemicidio) VALUES (' http://www.edicioncero.cl/2017/02/ministerio-de-la-mujer-el-femicidio-es-un-crimen-que-se-puede-evitar/ ',' CV2017ch4 '); </v>
      </c>
    </row>
    <row r="20" spans="1:3" ht="15.75" thickBot="1">
      <c r="A20" s="21" t="s">
        <v>861</v>
      </c>
      <c r="B20" s="3" t="s">
        <v>18</v>
      </c>
      <c r="C20" t="str">
        <f t="shared" si="0"/>
        <v xml:space="preserve">INSERT INTO url(direccion,idFemicidio) VALUES (' http://www.atentos.cl/2017/02/05/brutal-femicidio-sujeto-mata-esposa-golpe-hacha-la-cabeza/ ',' CV2017ch4 '); </v>
      </c>
    </row>
    <row r="21" spans="1:3" ht="15.75" thickBot="1">
      <c r="A21" s="21" t="s">
        <v>862</v>
      </c>
      <c r="B21" s="3" t="s">
        <v>19</v>
      </c>
      <c r="C21" t="str">
        <f t="shared" si="0"/>
        <v xml:space="preserve">INSERT INTO url(direccion,idFemicidio) VALUES (' http://www.biobiochile.cl/noticias/nacional/region-metropolitana/2017/02/09/ministra-de-la-mujer-s-y-femicidio-en-san-bernardo-urge-un-cambio-cultural-entre-todos.shtml ',' MG2017ch5 '); </v>
      </c>
    </row>
    <row r="22" spans="1:3" ht="15.75" thickBot="1">
      <c r="A22" s="21" t="s">
        <v>862</v>
      </c>
      <c r="B22" s="3" t="s">
        <v>20</v>
      </c>
      <c r="C22" t="str">
        <f t="shared" si="0"/>
        <v xml:space="preserve">INSERT INTO url(direccion,idFemicidio) VALUES (' http://www.t13.cl/noticia/nacional/Femicidio-Mujer-de-26-anos-muere-por-un-disparo-en-San-Bernardo ',' MG2017ch5 '); </v>
      </c>
    </row>
    <row r="23" spans="1:3" ht="15.75" thickBot="1">
      <c r="A23" s="21" t="s">
        <v>862</v>
      </c>
      <c r="B23" s="3" t="s">
        <v>21</v>
      </c>
      <c r="C23" t="str">
        <f t="shared" si="0"/>
        <v xml:space="preserve">INSERT INTO url(direccion,idFemicidio) VALUES (' http://www.diarioeldia.cl/pais/hombre-asesina-su-expareja-se-suicida-en-plena-publica ',' MG2017ch5 '); </v>
      </c>
    </row>
    <row r="24" spans="1:3" ht="15.75" thickBot="1">
      <c r="A24" s="21" t="s">
        <v>862</v>
      </c>
      <c r="B24" s="3" t="s">
        <v>22</v>
      </c>
      <c r="C24" t="str">
        <f t="shared" si="0"/>
        <v xml:space="preserve">INSERT INTO url(direccion,idFemicidio) VALUES (' http://www.chvnoticias.cl/policial/nuevo-femicidio-mujer-de-26-anos-murio-por-impactos-de-bala/2017-02-09/002344.html ',' MG2017ch5 '); </v>
      </c>
    </row>
    <row r="25" spans="1:3" ht="15.75" thickBot="1">
      <c r="A25" s="21" t="s">
        <v>863</v>
      </c>
      <c r="B25" s="44" t="s">
        <v>23</v>
      </c>
      <c r="C25" t="str">
        <f t="shared" si="0"/>
        <v xml:space="preserve">INSERT INTO url(direccion,idFemicidio) VALUES (' http://www.latercera.com/noticia/indagan-posible-femicidio-posterior-suicidio-la-pintana/ ',' YF2017ch6 '); </v>
      </c>
    </row>
    <row r="26" spans="1:3" ht="15.75" thickBot="1">
      <c r="A26" s="21" t="s">
        <v>863</v>
      </c>
      <c r="B26" s="44" t="s">
        <v>24</v>
      </c>
      <c r="C26" t="str">
        <f t="shared" si="0"/>
        <v xml:space="preserve">INSERT INTO url(direccion,idFemicidio) VALUES (' http://www.cooperativa.cl/noticias/pais/policial/femicidio/joven-viajo-a-santiago-para-pasar-con-su-pololo-el-dia-del-amor-y-este/2017-02-15/072049.html ',' YF2017ch6 '); </v>
      </c>
    </row>
    <row r="27" spans="1:3" ht="15.75" thickBot="1">
      <c r="A27" s="21" t="s">
        <v>863</v>
      </c>
      <c r="B27" s="44" t="s">
        <v>25</v>
      </c>
      <c r="C27" t="str">
        <f t="shared" si="0"/>
        <v xml:space="preserve">INSERT INTO url(direccion,idFemicidio) VALUES (' http://www.adnradio.cl/noticias/nacional/investigan-posible-femicidio-en-la-pintana/20170215/nota/3384238.aspx ',' YF2017ch6 '); </v>
      </c>
    </row>
    <row r="28" spans="1:3" ht="15.75" thickBot="1">
      <c r="A28" s="21" t="s">
        <v>863</v>
      </c>
      <c r="B28" s="44" t="s">
        <v>26</v>
      </c>
      <c r="C28" t="str">
        <f t="shared" si="0"/>
        <v xml:space="preserve">INSERT INTO url(direccion,idFemicidio) VALUES (' http://www.24horas.cl/nacional/la-celebracion-previa-a-la-muerte-de-joven-pareja-en-la-pintana-2301666 ',' YF2017ch6 '); </v>
      </c>
    </row>
    <row r="29" spans="1:3" ht="15.75" thickBot="1">
      <c r="A29" s="21" t="s">
        <v>863</v>
      </c>
      <c r="B29" s="44" t="s">
        <v>27</v>
      </c>
      <c r="C29" t="str">
        <f t="shared" si="0"/>
        <v xml:space="preserve">INSERT INTO url(direccion,idFemicidio) VALUES (' https://eldiario.news/nacional/indagan_posible_femicidio_y_posterior_suicidio_en_la_pintana ',' YF2017ch6 '); </v>
      </c>
    </row>
    <row r="30" spans="1:3" ht="15.75" thickBot="1">
      <c r="A30" s="21" t="s">
        <v>864</v>
      </c>
      <c r="B30" s="3" t="s">
        <v>28</v>
      </c>
      <c r="C30" t="str">
        <f t="shared" si="0"/>
        <v xml:space="preserve">INSERT INTO url(direccion,idFemicidio) VALUES (' http://www.eldesconcierto.cl/2017/02/23/investigan-posible-femicidio-la-comuna-pemuco/ ',' AR2017ch7 '); </v>
      </c>
    </row>
    <row r="31" spans="1:3" ht="15.75" thickBot="1">
      <c r="A31" s="21" t="s">
        <v>864</v>
      </c>
      <c r="B31" s="3" t="s">
        <v>29</v>
      </c>
      <c r="C31" t="str">
        <f t="shared" si="0"/>
        <v xml:space="preserve">INSERT INTO url(direccion,idFemicidio) VALUES (' http://www.ladiscusion.cl/detalle/10722/Investigan-posible-femicidio-en-la-comuna-de-Pemuco#sthash.OhN0EPbC.dpbs ',' AR2017ch7 '); </v>
      </c>
    </row>
    <row r="32" spans="1:3" ht="15.75" thickBot="1">
      <c r="A32" s="21" t="s">
        <v>864</v>
      </c>
      <c r="B32" s="3" t="s">
        <v>30</v>
      </c>
      <c r="C32" t="str">
        <f t="shared" si="0"/>
        <v xml:space="preserve">INSERT INTO url(direccion,idFemicidio) VALUES (' http://www.biobiochile.cl/noticias/nacional/region-del-bio-bio/2017/02/23/formalizaran-a-menor-de-14-anos-por-eventual-participacion-en-asesinato-de-sus-padres.shtml ',' AR2017ch7 '); </v>
      </c>
    </row>
    <row r="33" spans="1:3" ht="15.75" thickBot="1">
      <c r="A33" s="21" t="s">
        <v>864</v>
      </c>
      <c r="B33" s="3" t="s">
        <v>31</v>
      </c>
      <c r="C33" t="str">
        <f t="shared" si="0"/>
        <v xml:space="preserve">INSERT INTO url(direccion,idFemicidio) VALUES (' http://www.emol.com/noticias/Nacional/2017/02/24/846536/Autoridades-investigan-hallazgo-de-los-cuerpos-de-un-matrimonio-en-Pemuco.html ',' AR2017ch7 '); </v>
      </c>
    </row>
    <row r="34" spans="1:3" ht="15.75" thickBot="1">
      <c r="A34" s="21" t="s">
        <v>865</v>
      </c>
      <c r="B34" s="3" t="s">
        <v>32</v>
      </c>
      <c r="C34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5" spans="1:3" ht="15.75" thickBot="1">
      <c r="A35" s="21" t="s">
        <v>865</v>
      </c>
      <c r="B35" s="3" t="s">
        <v>33</v>
      </c>
      <c r="C35" t="str">
        <f t="shared" si="0"/>
        <v xml:space="preserve">INSERT INTO url(direccion,idFemicidio) VALUES (' http://www.diarioelcentro.cl/noticias/cronica/femicidio-en-molina-familia-de-victima-exige-un-castigo-ejemplar ',' GR2017ch8 '); </v>
      </c>
    </row>
    <row r="36" spans="1:3" ht="15.75" thickBot="1">
      <c r="A36" s="21" t="s">
        <v>865</v>
      </c>
      <c r="B36" s="3" t="s">
        <v>32</v>
      </c>
      <c r="C36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7" spans="1:3" ht="15.75" thickBot="1">
      <c r="A37" s="21" t="s">
        <v>865</v>
      </c>
      <c r="B37" s="3" t="s">
        <v>32</v>
      </c>
      <c r="C37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8" spans="1:3" ht="15.75" thickBot="1">
      <c r="A38" s="21" t="s">
        <v>865</v>
      </c>
      <c r="B38" s="3" t="s">
        <v>33</v>
      </c>
      <c r="C38" t="str">
        <f t="shared" si="0"/>
        <v xml:space="preserve">INSERT INTO url(direccion,idFemicidio) VALUES (' http://www.diarioelcentro.cl/noticias/cronica/femicidio-en-molina-familia-de-victima-exige-un-castigo-ejemplar ',' GR2017ch8 '); </v>
      </c>
    </row>
    <row r="39" spans="1:3" ht="15.75" thickBot="1">
      <c r="A39" s="21" t="s">
        <v>865</v>
      </c>
      <c r="B39" s="3" t="s">
        <v>34</v>
      </c>
      <c r="C39" t="str">
        <f t="shared" si="0"/>
        <v xml:space="preserve">INSERT INTO url(direccion,idFemicidio) VALUES (' http://www.eldiario.ec/lamarea/noticias-manta-ecuador/426224-una-joven-de-24-anos-es-la-nueva-victima-de-feminicidio-en-chile/ ',' GR2017ch8 '); </v>
      </c>
    </row>
    <row r="40" spans="1:3" ht="15.75" thickBot="1">
      <c r="A40" s="21" t="s">
        <v>865</v>
      </c>
      <c r="B40" s="3" t="s">
        <v>35</v>
      </c>
      <c r="C40" t="str">
        <f t="shared" si="0"/>
        <v xml:space="preserve">INSERT INTO url(direccion,idFemicidio) VALUES (' http://www.cooperativa.cl/noticias/pais/policial/femicidio/tribunal-decreto-prision-preventiva-para-imputado-por-femicidio-en-molina/2017-03-17/173747.html ',' GR2017ch8 '); </v>
      </c>
    </row>
    <row r="41" spans="1:3" ht="15.75" thickBot="1">
      <c r="A41" s="21" t="s">
        <v>866</v>
      </c>
      <c r="B41" s="3" t="s">
        <v>36</v>
      </c>
      <c r="C41" t="str">
        <f t="shared" si="0"/>
        <v xml:space="preserve">INSERT INTO url(direccion,idFemicidio) VALUES (' http://www.diarioeldia.cl/pais/nuevo-caso-femicidio-hija-menor-encuentra-muertos-sus-padres ',' AL2017ch9 '); </v>
      </c>
    </row>
    <row r="42" spans="1:3" ht="15.75" thickBot="1">
      <c r="A42" s="21" t="s">
        <v>866</v>
      </c>
      <c r="B42" s="3" t="s">
        <v>37</v>
      </c>
      <c r="C42" t="str">
        <f t="shared" si="0"/>
        <v xml:space="preserve">INSERT INTO url(direccion,idFemicidio) VALUES (' https://www.efe.com/efe/america/sociedad/una-mujer-de-48-anos-es-la-decima-victima-feminicidio-en-chile-2017/20000013-3224955 ',' AL2017ch9 '); </v>
      </c>
    </row>
    <row r="43" spans="1:3" ht="15.75" thickBot="1">
      <c r="A43" s="21" t="s">
        <v>866</v>
      </c>
      <c r="B43" s="3" t="s">
        <v>38</v>
      </c>
      <c r="C43" t="str">
        <f t="shared" si="0"/>
        <v xml:space="preserve">INSERT INTO url(direccion,idFemicidio) VALUES (' http://www.chvnoticias.cl/policial/nuevo-femicidio-hombre-mato-a-su-pareja-y-luego-se-suicido/2017-03-29/212300.html ',' AL2017ch9 '); </v>
      </c>
    </row>
    <row r="44" spans="1:3" ht="15.75" thickBot="1">
      <c r="A44" s="21" t="s">
        <v>866</v>
      </c>
      <c r="B44" s="3" t="s">
        <v>39</v>
      </c>
      <c r="C44" t="str">
        <f t="shared" si="0"/>
        <v xml:space="preserve">INSERT INTO url(direccion,idFemicidio) VALUES (' http://www.cooperativa.cl/noticias/pais/policial/femicidio/un-femicidio-y-posterior-suicidio-quedo-al-descubierto-en-pudahuel/2017-03-29/213635.html ',' AL2017ch9 '); </v>
      </c>
    </row>
    <row r="45" spans="1:3" ht="15.75" thickBot="1">
      <c r="A45" s="21" t="s">
        <v>866</v>
      </c>
      <c r="B45" s="3" t="s">
        <v>40</v>
      </c>
      <c r="C45" t="str">
        <f t="shared" si="0"/>
        <v xml:space="preserve">INSERT INTO url(direccion,idFemicidio) VALUES (' http://www.wradio.com.co/noticias/internacional/una-mujer-de-48-anos-es-la-decima-victima-de-feminicidio-en-chile-en-2017/20170331/nota/3423708.aspx ',' AL2017ch9 '); </v>
      </c>
    </row>
    <row r="46" spans="1:3" ht="15.75" thickBot="1">
      <c r="A46" s="21" t="s">
        <v>867</v>
      </c>
      <c r="B46" s="3" t="s">
        <v>41</v>
      </c>
      <c r="C46" t="str">
        <f t="shared" si="0"/>
        <v xml:space="preserve">INSERT INTO url(direccion,idFemicidio) VALUES (' http://www.eldivisadero.cl/noticia-41810 ',' RE2017ch10 '); </v>
      </c>
    </row>
    <row r="47" spans="1:3" ht="15.75" thickBot="1">
      <c r="A47" s="21" t="s">
        <v>867</v>
      </c>
      <c r="B47" s="3" t="s">
        <v>42</v>
      </c>
      <c r="C47" t="str">
        <f t="shared" si="0"/>
        <v xml:space="preserve">INSERT INTO url(direccion,idFemicidio) VALUES (' http://redaysen.com/hombre-acusado-de-femicidio-confeso-que-estrangulo-a-su-pareja_1503061272oZkxP.html ',' RE2017ch10 '); </v>
      </c>
    </row>
    <row r="48" spans="1:3" ht="15.75" thickBot="1">
      <c r="A48" s="21" t="s">
        <v>867</v>
      </c>
      <c r="B48" s="3" t="s">
        <v>43</v>
      </c>
      <c r="C48" t="str">
        <f t="shared" si="0"/>
        <v xml:space="preserve">INSERT INTO url(direccion,idFemicidio) VALUES (' http://www.emol.com/noticias/Nacional/2017/02/10/844443/En-prision-sujeto-acusado-de-estrangular-su-pareja-y-luego-esconder-su-cuerpo-durante-cinco-dias-en-Coyhaique.html ',' RE2017ch10 '); </v>
      </c>
    </row>
    <row r="49" spans="1:3" ht="30.75" thickBot="1">
      <c r="A49" s="21" t="s">
        <v>868</v>
      </c>
      <c r="B49" s="3" t="s">
        <v>44</v>
      </c>
      <c r="C49" t="str">
        <f t="shared" si="0"/>
        <v xml:space="preserve">INSERT INTO url(direccion,idFemicidio) VALUES (' http://www.latercera.com/noticia/nuevo-femicidio-sujeto-mata-pareja-luego-se-suicida-san-bernardo/ ',' NB2017ch11 '); </v>
      </c>
    </row>
    <row r="50" spans="1:3" ht="30.75" thickBot="1">
      <c r="A50" s="21" t="s">
        <v>868</v>
      </c>
      <c r="B50" s="3" t="s">
        <v>37</v>
      </c>
      <c r="C50" t="str">
        <f t="shared" si="0"/>
        <v xml:space="preserve">INSERT INTO url(direccion,idFemicidio) VALUES (' https://www.efe.com/efe/america/sociedad/una-mujer-de-48-anos-es-la-decima-victima-feminicidio-en-chile-2017/20000013-3224955 ',' NB2017ch11 '); </v>
      </c>
    </row>
    <row r="51" spans="1:3" ht="30.75" thickBot="1">
      <c r="A51" s="21" t="s">
        <v>868</v>
      </c>
      <c r="B51" s="3" t="s">
        <v>45</v>
      </c>
      <c r="C51" t="str">
        <f t="shared" si="0"/>
        <v xml:space="preserve">INSERT INTO url(direccion,idFemicidio) VALUES (' http://www.24horas.cl/nacional/integra-emite-declaracion-publica-tras-femicidio-de-funcionaria-de-jardin-infantil-2344076 ',' NB2017ch11 '); </v>
      </c>
    </row>
    <row r="52" spans="1:3" ht="30.75" thickBot="1">
      <c r="A52" s="21" t="s">
        <v>868</v>
      </c>
      <c r="B52" s="3" t="s">
        <v>44</v>
      </c>
      <c r="C52" t="str">
        <f t="shared" si="0"/>
        <v xml:space="preserve">INSERT INTO url(direccion,idFemicidio) VALUES (' http://www.latercera.com/noticia/nuevo-femicidio-sujeto-mata-pareja-luego-se-suicida-san-bernardo/ ',' NB2017ch11 '); </v>
      </c>
    </row>
    <row r="53" spans="1:3" ht="30.75" thickBot="1">
      <c r="A53" s="21" t="s">
        <v>868</v>
      </c>
      <c r="B53" s="3" t="s">
        <v>46</v>
      </c>
      <c r="C53" t="str">
        <f t="shared" si="0"/>
        <v xml:space="preserve">INSERT INTO url(direccion,idFemicidio) VALUES (' https://www.msn.com/es-us/noticias/estados-unidos/nuevo-femicidio-sujeto-mata-a-su-pareja-y-luego-se-suicida-en-san-bernardo/ar-BBz6gju?li=BBqdph5 ',' NB2017ch11 '); </v>
      </c>
    </row>
    <row r="54" spans="1:3" ht="30.75" thickBot="1">
      <c r="A54" s="21" t="s">
        <v>868</v>
      </c>
      <c r="B54" s="3" t="s">
        <v>47</v>
      </c>
      <c r="C54" t="str">
        <f t="shared" si="0"/>
        <v xml:space="preserve">INSERT INTO url(direccion,idFemicidio) VALUES (' http://www.biobiochile.cl/noticias/nacional/chile/2017/03/31/nuevo-femicidio-en-san-bernardo-hombre-se-habria-ahorcado-tras-matar-a-su-pareja.shtml ',' NB2017ch11 '); </v>
      </c>
    </row>
    <row r="55" spans="1:3" ht="30.75" thickBot="1">
      <c r="A55" s="21" t="s">
        <v>868</v>
      </c>
      <c r="B55" s="3" t="s">
        <v>37</v>
      </c>
      <c r="C55" t="str">
        <f t="shared" si="0"/>
        <v xml:space="preserve">INSERT INTO url(direccion,idFemicidio) VALUES (' https://www.efe.com/efe/america/sociedad/una-mujer-de-48-anos-es-la-decima-victima-feminicidio-en-chile-2017/20000013-3224955 ',' NB2017ch11 '); </v>
      </c>
    </row>
    <row r="56" spans="1:3" ht="15.75" thickBot="1">
      <c r="A56" s="21" t="s">
        <v>869</v>
      </c>
      <c r="B56" s="3" t="s">
        <v>48</v>
      </c>
      <c r="C56" t="str">
        <f t="shared" si="0"/>
        <v xml:space="preserve">INSERT INTO url(direccion,idFemicidio) VALUES (' http://www.diariocronica.cl/?p=9134 ',' RE2017ch12 '); </v>
      </c>
    </row>
    <row r="57" spans="1:3" ht="15.75" thickBot="1">
      <c r="A57" s="21" t="s">
        <v>869</v>
      </c>
      <c r="B57" s="3" t="s">
        <v>48</v>
      </c>
      <c r="C57" t="str">
        <f t="shared" si="0"/>
        <v xml:space="preserve">INSERT INTO url(direccion,idFemicidio) VALUES (' http://www.diariocronica.cl/?p=9134 ',' RE2017ch12 '); </v>
      </c>
    </row>
    <row r="58" spans="1:3" ht="15.75" thickBot="1">
      <c r="A58" s="21" t="s">
        <v>869</v>
      </c>
      <c r="B58" s="3" t="s">
        <v>49</v>
      </c>
      <c r="C58" t="str">
        <f t="shared" si="0"/>
        <v xml:space="preserve">INSERT INTO url(direccion,idFemicidio) VALUES (' http://www.24horas.cl/nacional/limache-encuentran-a-pareja-muerta-al-interior-de-un-hogar-2343880 ',' RE2017ch12 '); </v>
      </c>
    </row>
    <row r="59" spans="1:3" ht="15.75" thickBot="1">
      <c r="A59" s="21" t="s">
        <v>869</v>
      </c>
      <c r="B59" s="3" t="s">
        <v>50</v>
      </c>
      <c r="C59" t="str">
        <f t="shared" si="0"/>
        <v xml:space="preserve">INSERT INTO url(direccion,idFemicidio) VALUES (' http://www.elmostrador.cl/noticias/pais/2017/04/05/mujer-de-30-anos-se-convierte-en-la-victima-12-de-feminicidio-en-lo-que-va-del-ano/ ',' RE2017ch12 '); </v>
      </c>
    </row>
    <row r="60" spans="1:3" ht="15.75" thickBot="1">
      <c r="A60" s="21" t="s">
        <v>869</v>
      </c>
      <c r="B60" s="3" t="s">
        <v>51</v>
      </c>
      <c r="C60" t="str">
        <f t="shared" si="0"/>
        <v xml:space="preserve">INSERT INTO url(direccion,idFemicidio) VALUES (' http://www.canal74.cl/2017/04/labocar-de-carabineros-investiga-femicidio-en-la-comuna-de-limache/ ',' RE2017ch12 '); </v>
      </c>
    </row>
    <row r="61" spans="1:3" ht="15.75" thickBot="1">
      <c r="A61" s="21" t="s">
        <v>869</v>
      </c>
      <c r="B61" s="3" t="s">
        <v>52</v>
      </c>
      <c r="C61" t="str">
        <f t="shared" si="0"/>
        <v xml:space="preserve">INSERT INTO url(direccion,idFemicidio) VALUES (' http://www.biobiochile.cl/noticias/nacional/chile/2017/04/01/impacto-luego-de-tres-casos-de-femicidio-en-menos-de-48-horas-es-un-problema-pais.shtml ',' RE2017ch12 '); </v>
      </c>
    </row>
    <row r="62" spans="1:3" ht="15.75" thickBot="1">
      <c r="A62" s="21" t="s">
        <v>869</v>
      </c>
      <c r="B62" s="3" t="s">
        <v>53</v>
      </c>
      <c r="C62" t="str">
        <f t="shared" si="0"/>
        <v xml:space="preserve">INSERT INTO url(direccion,idFemicidio) VALUES (' http://www.radiovalparaiso.cl/2017/03/31/labocar-investiga-posible-femicidio-posterior-suicidio-del-autor-limache/ ',' RE2017ch12 '); </v>
      </c>
    </row>
    <row r="63" spans="1:3" ht="15.75" thickBot="1">
      <c r="A63" s="21" t="s">
        <v>870</v>
      </c>
      <c r="B63" s="3" t="s">
        <v>54</v>
      </c>
      <c r="C63" t="str">
        <f t="shared" si="0"/>
        <v xml:space="preserve">INSERT INTO url(direccion,idFemicidio) VALUES (' http://www.latercera.com/noticia/los-detalles-del-macabro-femicidio-antofagasta-segun-relato-del-fiscal/ ',' LC2017ch13 '); </v>
      </c>
    </row>
    <row r="64" spans="1:3" ht="15.75" thickBot="1">
      <c r="A64" s="21" t="s">
        <v>870</v>
      </c>
      <c r="B64" s="3" t="s">
        <v>55</v>
      </c>
      <c r="C64" t="str">
        <f t="shared" si="0"/>
        <v xml:space="preserve">INSERT INTO url(direccion,idFemicidio) VALUES (' http://www.latercera.com/noticia/encuentran-cadaver-mujer-al-interior-clinica-oftalmologica-antofagasta/ ',' LC2017ch13 '); </v>
      </c>
    </row>
    <row r="65" spans="1:3" ht="15.75" thickBot="1">
      <c r="A65" s="21" t="s">
        <v>870</v>
      </c>
      <c r="B65" s="3" t="s">
        <v>56</v>
      </c>
      <c r="C65" t="str">
        <f t="shared" si="0"/>
        <v xml:space="preserve">INSERT INTO url(direccion,idFemicidio) VALUES (' http://www.diarioantofagasta.cl/regional/antofagasta/74368/la-impactante-confesion-del-imputado-femicidio-antofagasta/ ',' LC2017ch13 '); </v>
      </c>
    </row>
    <row r="66" spans="1:3" ht="15.75" thickBot="1">
      <c r="A66" s="21" t="s">
        <v>870</v>
      </c>
      <c r="B66" s="3" t="s">
        <v>57</v>
      </c>
      <c r="C66" t="str">
        <f t="shared" si="0"/>
        <v xml:space="preserve">INSERT INTO url(direccion,idFemicidio) VALUES (' http://www.emol.com/noticias/Nacional/2017/04/04/852715/Sujeto-confiesa-haber-asesinado-a-su-ex-esposa-al-interior-de-una-clinica-oftalmologica-en-Antofagasta.html ',' LC2017ch13 '); </v>
      </c>
    </row>
    <row r="67" spans="1:3" ht="15.75" thickBot="1">
      <c r="A67" s="21" t="s">
        <v>870</v>
      </c>
      <c r="B67" s="3" t="s">
        <v>58</v>
      </c>
      <c r="C67" t="str">
        <f t="shared" ref="C67:C130" si="1">"INSERT INTO url(direccion,idFemicidio) VALUES (' "&amp;B67&amp;" ',' "&amp;A67&amp;" '); "</f>
        <v xml:space="preserve">INSERT INTO url(direccion,idFemicidio) VALUES (' http://www.cooperativa.cl/noticias/pais/policial/femicidio/antofagasta-joven-madre-fue-asesinada-por-su-ex-marido/2017-04-05/123641.html ',' LC2017ch13 '); </v>
      </c>
    </row>
    <row r="68" spans="1:3" ht="15.75" thickBot="1">
      <c r="A68" s="21" t="s">
        <v>870</v>
      </c>
      <c r="B68" s="3" t="s">
        <v>59</v>
      </c>
      <c r="C68" t="str">
        <f t="shared" si="1"/>
        <v xml:space="preserve">INSERT INTO url(direccion,idFemicidio) VALUES (' http://www.eldinamo.cl/nacional/2017/04/07/la-insolita-confesion-telefonica-de-acusado-de-femicidio-que-indigno-a-antofagasta/ ',' LC2017ch13 '); </v>
      </c>
    </row>
    <row r="69" spans="1:3" ht="15.75" thickBot="1">
      <c r="A69" s="21" t="s">
        <v>870</v>
      </c>
      <c r="B69" s="3" t="s">
        <v>60</v>
      </c>
      <c r="C69" t="str">
        <f t="shared" si="1"/>
        <v xml:space="preserve">INSERT INTO url(direccion,idFemicidio) VALUES (' http://www.biobiochile.cl/noticias/nacional/chile/2017/04/07/formalizan-a-hombre-acusado-de-femicidio-en-antofagasta.shtml ',' LC2017ch13 '); </v>
      </c>
    </row>
    <row r="70" spans="1:3" ht="15.75" thickBot="1">
      <c r="A70" s="21" t="s">
        <v>871</v>
      </c>
      <c r="B70" s="3" t="s">
        <v>61</v>
      </c>
      <c r="C70" t="str">
        <f t="shared" si="1"/>
        <v xml:space="preserve">INSERT INTO url(direccion,idFemicidio) VALUES (' http://www.chvnoticias.cl/policial/carabineros-detuvo-a-principal-sospechoso-de-femicidio-en-dalcahue/2017-04-08/163913.html ',' PV2017ch14 '); </v>
      </c>
    </row>
    <row r="71" spans="1:3" ht="15.75" thickBot="1">
      <c r="A71" s="21" t="s">
        <v>871</v>
      </c>
      <c r="B71" s="3" t="s">
        <v>62</v>
      </c>
      <c r="C71" t="str">
        <f t="shared" si="1"/>
        <v xml:space="preserve">INSERT INTO url(direccion,idFemicidio) VALUES (' http://laopiniondechiloe.cl/la-violenta-historia-de-oriundos-de-osorno-tras-virtual-femicidio-en-dalcahue/ ',' PV2017ch14 '); </v>
      </c>
    </row>
    <row r="72" spans="1:3" ht="15.75" thickBot="1">
      <c r="A72" s="21" t="s">
        <v>871</v>
      </c>
      <c r="B72" s="3" t="s">
        <v>63</v>
      </c>
      <c r="C72" t="str">
        <f t="shared" si="1"/>
        <v xml:space="preserve">INSERT INTO url(direccion,idFemicidio) VALUES (' http://www.radioestrelladelmar.cl/?p=11638 ',' PV2017ch14 '); </v>
      </c>
    </row>
    <row r="73" spans="1:3" ht="15.75" thickBot="1">
      <c r="A73" s="21" t="s">
        <v>871</v>
      </c>
      <c r="B73" s="3" t="s">
        <v>62</v>
      </c>
      <c r="C73" t="str">
        <f t="shared" si="1"/>
        <v xml:space="preserve">INSERT INTO url(direccion,idFemicidio) VALUES (' http://laopiniondechiloe.cl/la-violenta-historia-de-oriundos-de-osorno-tras-virtual-femicidio-en-dalcahue/ ',' PV2017ch14 '); </v>
      </c>
    </row>
    <row r="74" spans="1:3" ht="15.75" thickBot="1">
      <c r="A74" s="21" t="s">
        <v>871</v>
      </c>
      <c r="B74" s="3" t="s">
        <v>64</v>
      </c>
      <c r="C74" t="str">
        <f t="shared" si="1"/>
        <v xml:space="preserve">INSERT INTO url(direccion,idFemicidio) VALUES (' https://www.epicentrochile.com/2017/04/12/imputado-por-femicidio-en-chiloe-quedo-en-prision-preventiva/ ',' PV2017ch14 '); </v>
      </c>
    </row>
    <row r="75" spans="1:3" ht="15.75" thickBot="1">
      <c r="A75" s="21" t="s">
        <v>871</v>
      </c>
      <c r="B75" s="3" t="s">
        <v>65</v>
      </c>
      <c r="C75" t="str">
        <f t="shared" si="1"/>
        <v xml:space="preserve">INSERT INTO url(direccion,idFemicidio) VALUES (' http://www.paislobo.cl/2017/04/denuncias-de-violencia-intrafamiliar-en.html ',' PV2017ch14 '); </v>
      </c>
    </row>
    <row r="76" spans="1:3" ht="15.75" thickBot="1">
      <c r="A76" s="21" t="s">
        <v>872</v>
      </c>
      <c r="B76" s="3" t="s">
        <v>66</v>
      </c>
      <c r="C76" t="str">
        <f t="shared" si="1"/>
        <v xml:space="preserve">INSERT INTO url(direccion,idFemicidio) VALUES (' http://www.24horas.cl/nacional/femicidio-en-rancagua-joven-asesina-a-su-polola-y-luego-se-quita-la-vida-2352876 ',' CL2017ch15 '); </v>
      </c>
    </row>
    <row r="77" spans="1:3" ht="15.75" thickBot="1">
      <c r="A77" s="21" t="s">
        <v>872</v>
      </c>
      <c r="B77" s="3" t="s">
        <v>66</v>
      </c>
      <c r="C77" t="str">
        <f t="shared" si="1"/>
        <v xml:space="preserve">INSERT INTO url(direccion,idFemicidio) VALUES (' http://www.24horas.cl/nacional/femicidio-en-rancagua-joven-asesina-a-su-polola-y-luego-se-quita-la-vida-2352876 ',' CL2017ch15 '); </v>
      </c>
    </row>
    <row r="78" spans="1:3" ht="15.75" thickBot="1">
      <c r="A78" s="21" t="s">
        <v>872</v>
      </c>
      <c r="B78" s="3" t="s">
        <v>67</v>
      </c>
      <c r="C78" t="str">
        <f t="shared" si="1"/>
        <v xml:space="preserve">INSERT INTO url(direccion,idFemicidio) VALUES (' http://redohiggins.com/femicidio-joven-de-29-anos-mato-a-su-pareja-y-posteriormente-se-suicido_1491934845Rnfx4.html ',' CL2017ch15 '); </v>
      </c>
    </row>
    <row r="79" spans="1:3" ht="15.75" thickBot="1">
      <c r="A79" s="21" t="s">
        <v>872</v>
      </c>
      <c r="B79" s="3" t="s">
        <v>68</v>
      </c>
      <c r="C79" t="str">
        <f t="shared" si="1"/>
        <v xml:space="preserve">INSERT INTO url(direccion,idFemicidio) VALUES (' http://www.newsjs.com/cl/femicidio-en-rancagua-joven-asesina-a-su-polola-y-luego-se-quita-la-vida/dpKmJSdh-V7-ioMJtB5jxz3BA5HJM/ ',' CL2017ch15 '); </v>
      </c>
    </row>
    <row r="80" spans="1:3" ht="15.75" thickBot="1">
      <c r="A80" s="21" t="s">
        <v>872</v>
      </c>
      <c r="B80" s="3" t="s">
        <v>69</v>
      </c>
      <c r="C80" t="str">
        <f t="shared" si="1"/>
        <v xml:space="preserve">INSERT INTO url(direccion,idFemicidio) VALUES (' http://lanoticiaonline.cl/primer-femicidio-del-ano-en-la-sexta-region/ ',' CL2017ch15 '); </v>
      </c>
    </row>
    <row r="81" spans="1:3" ht="30.75" thickBot="1">
      <c r="A81" s="21" t="s">
        <v>873</v>
      </c>
      <c r="B81" s="3" t="s">
        <v>70</v>
      </c>
      <c r="C81" t="str">
        <f t="shared" si="1"/>
        <v xml:space="preserve">INSERT INTO url(direccion,idFemicidio) VALUES (' http://lanacion.cl/2017/04/16/hombre-mato-a-su-esposa-con-un-hachazo-y-se-entrego-a-carabineros/ ',' GG2017ch16 '); </v>
      </c>
    </row>
    <row r="82" spans="1:3" ht="30.75" thickBot="1">
      <c r="A82" s="21" t="s">
        <v>873</v>
      </c>
      <c r="B82" s="3" t="s">
        <v>71</v>
      </c>
      <c r="C82" t="str">
        <f t="shared" si="1"/>
        <v xml:space="preserve">INSERT INTO url(direccion,idFemicidio) VALUES (' http://www.eldesconcierto.cl/2017/04/16/brutal-femicidio-en-tome-hombre-mato-de-un-hachazo-a-su-esposa/ ',' GG2017ch16 '); </v>
      </c>
    </row>
    <row r="83" spans="1:3" ht="30.75" thickBot="1">
      <c r="A83" s="21" t="s">
        <v>873</v>
      </c>
      <c r="B83" s="3" t="s">
        <v>72</v>
      </c>
      <c r="C83" t="str">
        <f t="shared" si="1"/>
        <v xml:space="preserve">INSERT INTO url(direccion,idFemicidio) VALUES (' http://elcachapoal.cl/ec/2017/05/08/femicidio-n-14/ ',' GG2017ch16 '); </v>
      </c>
    </row>
    <row r="84" spans="1:3" ht="30.75" thickBot="1">
      <c r="A84" s="21" t="s">
        <v>873</v>
      </c>
      <c r="B84" s="3" t="s">
        <v>73</v>
      </c>
      <c r="C84" t="str">
        <f t="shared" si="1"/>
        <v xml:space="preserve">INSERT INTO url(direccion,idFemicidio) VALUES (' http://lanacion.cl/2017/04/16/amplian-detencion-de-sujeto-que-mato-a-hachazos-a-su-esposa/ ',' GG2017ch16 '); </v>
      </c>
    </row>
    <row r="85" spans="1:3" ht="30.75" thickBot="1">
      <c r="A85" s="21" t="s">
        <v>873</v>
      </c>
      <c r="B85" s="3" t="s">
        <v>74</v>
      </c>
      <c r="C85" t="str">
        <f t="shared" si="1"/>
        <v xml:space="preserve">INSERT INTO url(direccion,idFemicidio) VALUES (' http://www.radioportales.cl/contenido/hombre-mato-de-un-hachazo-a-su-esposa-en-tome/ ',' GG2017ch16 '); </v>
      </c>
    </row>
    <row r="86" spans="1:3" ht="30.75" thickBot="1">
      <c r="A86" s="21" t="s">
        <v>873</v>
      </c>
      <c r="B86" s="3" t="s">
        <v>75</v>
      </c>
      <c r="C86" t="str">
        <f t="shared" si="1"/>
        <v xml:space="preserve">INSERT INTO url(direccion,idFemicidio) VALUES (' https://eldiario.news/nacional/hombre_mato_de_un_hachazo_a_su_esposa_en_tome ',' GG2017ch16 '); </v>
      </c>
    </row>
    <row r="87" spans="1:3" ht="30.75" thickBot="1">
      <c r="A87" s="21" t="s">
        <v>873</v>
      </c>
      <c r="B87" s="3" t="s">
        <v>76</v>
      </c>
      <c r="C87" t="str">
        <f t="shared" si="1"/>
        <v xml:space="preserve">INSERT INTO url(direccion,idFemicidio) VALUES (' https://reportechile.net/2017/04/hombre-mato-de-un-hachazo-a-su-esposa-en-tome/ ',' GG2017ch16 '); </v>
      </c>
    </row>
    <row r="88" spans="1:3" ht="30.75" thickBot="1">
      <c r="A88" s="21" t="s">
        <v>874</v>
      </c>
      <c r="B88" s="3" t="s">
        <v>77</v>
      </c>
      <c r="C88" t="str">
        <f t="shared" si="1"/>
        <v xml:space="preserve">INSERT INTO url(direccion,idFemicidio) VALUES (' http://www.latercera.com/noticia/indagan-nuevo-femicidio-en-rancagua/ ',' MD2017ch17 '); </v>
      </c>
    </row>
    <row r="89" spans="1:3" ht="30.75" thickBot="1">
      <c r="A89" s="21" t="s">
        <v>874</v>
      </c>
      <c r="B89" s="3" t="s">
        <v>70</v>
      </c>
      <c r="C89" t="str">
        <f t="shared" si="1"/>
        <v xml:space="preserve">INSERT INTO url(direccion,idFemicidio) VALUES (' http://lanacion.cl/2017/04/16/hombre-mato-a-su-esposa-con-un-hachazo-y-se-entrego-a-carabineros/ ',' MD2017ch17 '); </v>
      </c>
    </row>
    <row r="90" spans="1:3" ht="30.75" thickBot="1">
      <c r="A90" s="21" t="s">
        <v>874</v>
      </c>
      <c r="B90" s="3" t="s">
        <v>78</v>
      </c>
      <c r="C90" t="str">
        <f t="shared" si="1"/>
        <v xml:space="preserve">INSERT INTO url(direccion,idFemicidio) VALUES (' http://www.minmujeryeg.cl/prensa/noticias-prensa/nacional-noticias/ministra-pascual-femicidio-rancagua-las-victimas-femicidios-pais-reflejo-la-violencia-machista-todos-todas-debemos-erradicar/ ',' MD2017ch17 '); </v>
      </c>
    </row>
    <row r="91" spans="1:3" ht="30.75" thickBot="1">
      <c r="A91" s="21" t="s">
        <v>875</v>
      </c>
      <c r="B91" s="3" t="s">
        <v>79</v>
      </c>
      <c r="C91" t="str">
        <f t="shared" si="1"/>
        <v xml:space="preserve">INSERT INTO url(direccion,idFemicidio) VALUES (' https://www.cooperativa.cl/noticias/pais/policial/pdi-busca-a-ex-pareja-de-joven-que-aparecio-colgada-en-canete-es/2017-05-02/122658.html ',' DM2017ch18 '); </v>
      </c>
    </row>
    <row r="92" spans="1:3" ht="30.75" thickBot="1">
      <c r="A92" s="21" t="s">
        <v>875</v>
      </c>
      <c r="B92" s="3" t="s">
        <v>80</v>
      </c>
      <c r="C92" t="str">
        <f t="shared" si="1"/>
        <v xml:space="preserve">INSERT INTO url(direccion,idFemicidio) VALUES (' http://www.puranoticia.cl/noticias/regiones/ambos-ahorcados-el-macabro-hecho-que-conmociona-a-canete/2017-05-02/140852.html ',' DM2017ch18 '); </v>
      </c>
    </row>
    <row r="93" spans="1:3" ht="30.75" thickBot="1">
      <c r="A93" s="21" t="s">
        <v>875</v>
      </c>
      <c r="B93" s="3" t="s">
        <v>81</v>
      </c>
      <c r="C93" t="str">
        <f t="shared" si="1"/>
        <v xml:space="preserve">INSERT INTO url(direccion,idFemicidio) VALUES (' http://www.biobiochile.cl/noticias/nacional/region-del-bio-bio/2017/05/02/investigan-presunto-femicidio-de-joven-de-23-anos-encontrada-en-canete.shtml ',' DM2017ch18 '); </v>
      </c>
    </row>
    <row r="94" spans="1:3" ht="30.75" thickBot="1">
      <c r="A94" s="21" t="s">
        <v>875</v>
      </c>
      <c r="B94" s="3" t="s">
        <v>82</v>
      </c>
      <c r="C94" t="str">
        <f t="shared" si="1"/>
        <v xml:space="preserve">INSERT INTO url(direccion,idFemicidio) VALUES (' http://www.cooperativa.cl/noticias/pais/policial/pdi-busca-a-ex-pareja-de-joven-que-aparecio-colgada-en-canete-es/2017-05-02/122658.html ',' DM2017ch18 '); </v>
      </c>
    </row>
    <row r="95" spans="1:3" ht="30.75" thickBot="1">
      <c r="A95" s="21" t="s">
        <v>875</v>
      </c>
      <c r="B95" s="3" t="s">
        <v>83</v>
      </c>
      <c r="C95" t="str">
        <f t="shared" si="1"/>
        <v xml:space="preserve">INSERT INTO url(direccion,idFemicidio) VALUES (' http://www.24horas.cl/nacional/agresor-se-quita-la-vida-tras-asesinar-a-su-ex-pareja-en-la-octava-region-2371147 ',' DM2017ch18 '); </v>
      </c>
    </row>
    <row r="96" spans="1:3" ht="30.75" thickBot="1">
      <c r="A96" s="21" t="s">
        <v>875</v>
      </c>
      <c r="B96" s="3" t="s">
        <v>84</v>
      </c>
      <c r="C96" t="str">
        <f t="shared" si="1"/>
        <v xml:space="preserve">INSERT INTO url(direccion,idFemicidio) VALUES (' http://www.elconcecuente.cl/noticia/sociedad/femicidio-la-encontraron-sin-vida-atada-un-arbol ',' DM2017ch18 '); </v>
      </c>
    </row>
    <row r="97" spans="1:3" ht="30.75" thickBot="1">
      <c r="A97" s="21" t="s">
        <v>875</v>
      </c>
      <c r="B97" s="3" t="s">
        <v>80</v>
      </c>
      <c r="C97" t="str">
        <f t="shared" si="1"/>
        <v xml:space="preserve">INSERT INTO url(direccion,idFemicidio) VALUES (' http://www.puranoticia.cl/noticias/regiones/ambos-ahorcados-el-macabro-hecho-que-conmociona-a-canete/2017-05-02/140852.html ',' DM2017ch18 '); </v>
      </c>
    </row>
    <row r="98" spans="1:3" ht="15.75" thickBot="1">
      <c r="A98" s="21" t="s">
        <v>876</v>
      </c>
      <c r="B98" s="3" t="s">
        <v>85</v>
      </c>
      <c r="C98" t="str">
        <f t="shared" si="1"/>
        <v xml:space="preserve">INSERT INTO url(direccion,idFemicidio) VALUES (' http://www.latercera.com/noticia/mujer-coquimbana-seria-la-decimocuarta-victima-feminicidio-este-ano/ ',' AC2017ch19 '); </v>
      </c>
    </row>
    <row r="99" spans="1:3" ht="15.75" thickBot="1">
      <c r="A99" s="21" t="s">
        <v>876</v>
      </c>
      <c r="B99" s="3" t="s">
        <v>86</v>
      </c>
      <c r="C99" t="str">
        <f t="shared" si="1"/>
        <v xml:space="preserve">INSERT INTO url(direccion,idFemicidio) VALUES (' http://www.diarioeldia.cl/policial/victima-agresor-se-enfrentaron-en-ovalle-previo-femicidio-en-coquimbo ',' AC2017ch19 '); </v>
      </c>
    </row>
    <row r="100" spans="1:3" ht="15.75" thickBot="1">
      <c r="A100" s="21" t="s">
        <v>876</v>
      </c>
      <c r="B100" s="3" t="s">
        <v>87</v>
      </c>
      <c r="C100" t="str">
        <f t="shared" si="1"/>
        <v xml:space="preserve">INSERT INTO url(direccion,idFemicidio) VALUES (' http://www.diarioeldia.cl/policial/coquimbo/asesinada-punaladas-muere-mujer-manos-su-pareja-en-tierras-blancas ',' AC2017ch19 '); </v>
      </c>
    </row>
    <row r="101" spans="1:3" ht="15.75" thickBot="1">
      <c r="A101" s="21" t="s">
        <v>876</v>
      </c>
      <c r="B101" s="3" t="s">
        <v>88</v>
      </c>
      <c r="C101" t="str">
        <f t="shared" si="1"/>
        <v xml:space="preserve">INSERT INTO url(direccion,idFemicidio) VALUES (' http://www.eluniversal.com.mx/articulo/mundo/2017/05/6/feminicidio-en-chile-mujer-de-60-anos-es-apunalada-por-su-pareja ',' AC2017ch19 '); </v>
      </c>
    </row>
    <row r="102" spans="1:3" ht="15.75" thickBot="1">
      <c r="A102" s="21" t="s">
        <v>876</v>
      </c>
      <c r="B102" s="3" t="s">
        <v>89</v>
      </c>
      <c r="C102" t="str">
        <f t="shared" si="1"/>
        <v xml:space="preserve">INSERT INTO url(direccion,idFemicidio) VALUES (' http://lanacion.cl/2017/05/06/mujer-de-60-anos-se-convirtio-en-nueva-victima-de-femicidio/ ',' AC2017ch19 '); </v>
      </c>
    </row>
    <row r="103" spans="1:3" ht="15.75" thickBot="1">
      <c r="A103" s="21" t="s">
        <v>876</v>
      </c>
      <c r="B103" s="3" t="s">
        <v>90</v>
      </c>
      <c r="C103" t="str">
        <f t="shared" si="1"/>
        <v xml:space="preserve">INSERT INTO url(direccion,idFemicidio) VALUES (' http://www.diariolaregion.cl/portal/?p=46584 ',' AC2017ch19 '); </v>
      </c>
    </row>
    <row r="104" spans="1:3" ht="15.75" thickBot="1">
      <c r="A104" s="21" t="s">
        <v>876</v>
      </c>
      <c r="B104" s="3" t="s">
        <v>91</v>
      </c>
      <c r="C104" t="str">
        <f t="shared" si="1"/>
        <v xml:space="preserve">INSERT INTO url(direccion,idFemicidio) VALUES (' http://www.biobiochile.cl/noticias/nacional/region-de-coquimbo/2017/05/06/ministra-pascual-condena-presunto-femicidio-en-coquimbo-y-anuncia-apoyo-a-familiares.shtml ',' AC2017ch19 '); </v>
      </c>
    </row>
    <row r="105" spans="1:3" ht="30.75" thickBot="1">
      <c r="A105" s="21" t="s">
        <v>877</v>
      </c>
      <c r="B105" s="3" t="s">
        <v>92</v>
      </c>
      <c r="C105" t="str">
        <f t="shared" si="1"/>
        <v xml:space="preserve">INSERT INTO url(direccion,idFemicidio) VALUES (' http://www.minmujeryeg.gob.cl/prensa/noticias-prensa/noticias-destacadas-home/ministra-claudia-pascual-estamos-tomando-contacto-las-familias-karen-michea-magyory-ponce-ofrecerles-apoyo-psicosocial-legal/ ',' MP2017ch20 '); </v>
      </c>
    </row>
    <row r="106" spans="1:3" ht="30.75" thickBot="1">
      <c r="A106" s="21" t="s">
        <v>877</v>
      </c>
      <c r="B106" s="3" t="s">
        <v>93</v>
      </c>
      <c r="C106" t="str">
        <f t="shared" si="1"/>
        <v xml:space="preserve">INSERT INTO url(direccion,idFemicidio) VALUES (' https://www.portalnoticias.cl/2017/05/15/la-mato-a-golpes-y-dijo-que-habia-sido-un-ataque-de-epilepsia/ ',' MP2017ch20 '); </v>
      </c>
    </row>
    <row r="107" spans="1:3" ht="30.75" thickBot="1">
      <c r="A107" s="21" t="s">
        <v>877</v>
      </c>
      <c r="B107" s="3" t="s">
        <v>94</v>
      </c>
      <c r="C107" t="str">
        <f t="shared" si="1"/>
        <v xml:space="preserve">INSERT INTO url(direccion,idFemicidio) VALUES (' http://www.emol.com/noticias/Nacional/2017/05/23/859564/Cifra-de-femicidios-registra-alza-en-los-primeros-cinco-meses-de-2017-respecto-de-igual-periodo-del-ano-pasado.html ',' MP2017ch20 '); </v>
      </c>
    </row>
    <row r="108" spans="1:3" ht="30.75" thickBot="1">
      <c r="A108" s="21" t="s">
        <v>877</v>
      </c>
      <c r="B108" s="3" t="s">
        <v>95</v>
      </c>
      <c r="C108" t="str">
        <f t="shared" si="1"/>
        <v xml:space="preserve">INSERT INTO url(direccion,idFemicidio) VALUES (' http://www.radioprofeta.cl/magyory-la-historia-de-la-joven-con-discapacidad-cognitiva-asesinada-por-su-pareja/ ',' MP2017ch20 '); </v>
      </c>
    </row>
    <row r="109" spans="1:3" ht="30.75" thickBot="1">
      <c r="A109" s="21" t="s">
        <v>878</v>
      </c>
      <c r="B109" s="3" t="s">
        <v>96</v>
      </c>
      <c r="C109" t="str">
        <f t="shared" si="1"/>
        <v xml:space="preserve">INSERT INTO url(direccion,idFemicidio) VALUES (' http://www.diarioeldia.cl/pais/mujer-32-anos-es-decimoquinta-victima-feminicidio-en-chile-en-2017 ',' KM2017ch21 '); </v>
      </c>
    </row>
    <row r="110" spans="1:3" ht="30.75" thickBot="1">
      <c r="A110" s="21" t="s">
        <v>878</v>
      </c>
      <c r="B110" s="3" t="s">
        <v>97</v>
      </c>
      <c r="C110" t="str">
        <f t="shared" si="1"/>
        <v xml:space="preserve">INSERT INTO url(direccion,idFemicidio) VALUES (' http://lanacion.cl/2017/05/14/nuevo-caso-de-femicidio-y-parricidio-en-san-francisco-de-mostazal/ ',' KM2017ch21 '); </v>
      </c>
    </row>
    <row r="111" spans="1:3" ht="30.75" thickBot="1">
      <c r="A111" s="21" t="s">
        <v>878</v>
      </c>
      <c r="B111" s="3" t="s">
        <v>98</v>
      </c>
      <c r="C111" t="str">
        <f t="shared" si="1"/>
        <v xml:space="preserve">INSERT INTO url(direccion,idFemicidio) VALUES (' http://www.24horas.cl/nacional/hombre-mata-a-su-esposa-e-hijo-en-san-francisco-de-mostazal-2383055 ',' KM2017ch21 '); </v>
      </c>
    </row>
    <row r="112" spans="1:3" ht="30.75" thickBot="1">
      <c r="A112" s="21" t="s">
        <v>878</v>
      </c>
      <c r="B112" s="3" t="s">
        <v>99</v>
      </c>
      <c r="C112" t="str">
        <f t="shared" si="1"/>
        <v xml:space="preserve">INSERT INTO url(direccion,idFemicidio) VALUES (' http://www.soychile.cl/Santiago/Policial/2017/05/14/463761/Mujer-de-32-anos-es-la-decimoquinta-victima-de-feminicidio-en-2017.aspx ',' KM2017ch21 '); </v>
      </c>
    </row>
    <row r="113" spans="1:3" ht="30.75" thickBot="1">
      <c r="A113" s="21" t="s">
        <v>878</v>
      </c>
      <c r="B113" s="3" t="s">
        <v>100</v>
      </c>
      <c r="C113" t="str">
        <f t="shared" si="1"/>
        <v xml:space="preserve">INSERT INTO url(direccion,idFemicidio) VALUES (' http://www.emol.com/noticias/Nacional/2017/05/14/858282/Detiene-a-hombre-de-33-anos-acusado-de-matar-a-su-pareja-e-hijo-en-San-Francisco-de-Mostazal.html ',' KM2017ch21 '); </v>
      </c>
    </row>
    <row r="114" spans="1:3" ht="30.75" thickBot="1">
      <c r="A114" s="21" t="s">
        <v>878</v>
      </c>
      <c r="B114" s="3" t="s">
        <v>101</v>
      </c>
      <c r="C114" t="str">
        <f t="shared" si="1"/>
        <v xml:space="preserve">INSERT INTO url(direccion,idFemicidio) VALUES (' http://www.chvnoticias.cl/policial/mato-a-su-mujer-embarazada-y-a-su-hijo-adolescente-en-feroz-parricidio/2017-05-14/170722.html ',' KM2017ch21 '); </v>
      </c>
    </row>
    <row r="115" spans="1:3" ht="30.75" thickBot="1">
      <c r="A115" s="21" t="s">
        <v>878</v>
      </c>
      <c r="B115" s="3" t="s">
        <v>97</v>
      </c>
      <c r="C115" t="str">
        <f t="shared" si="1"/>
        <v xml:space="preserve">INSERT INTO url(direccion,idFemicidio) VALUES (' http://lanacion.cl/2017/05/14/nuevo-caso-de-femicidio-y-parricidio-en-san-francisco-de-mostazal/ ',' KM2017ch21 '); </v>
      </c>
    </row>
    <row r="116" spans="1:3" ht="15.75" thickBot="1">
      <c r="A116" s="21" t="s">
        <v>879</v>
      </c>
      <c r="B116" s="3" t="s">
        <v>102</v>
      </c>
      <c r="C116" t="str">
        <f t="shared" si="1"/>
        <v xml:space="preserve">INSERT INTO url(direccion,idFemicidio) VALUES (' http://www.latercera.com/noticia/brutal-femicidio-remecio-freire/ ',' JP2017ch22 '); </v>
      </c>
    </row>
    <row r="117" spans="1:3" ht="15.75" thickBot="1">
      <c r="A117" s="21" t="s">
        <v>879</v>
      </c>
      <c r="B117" s="3" t="s">
        <v>103</v>
      </c>
      <c r="C117" t="str">
        <f t="shared" si="1"/>
        <v xml:space="preserve">INSERT INTO url(direccion,idFemicidio) VALUES (' http://www.cnnchile.com/noticia/2017/05/26/dos-hombres-fueron-formalizados-tras-calcinar-una-mujer-en-freire ',' JP2017ch22 '); </v>
      </c>
    </row>
    <row r="118" spans="1:3" ht="15.75" thickBot="1">
      <c r="A118" s="21" t="s">
        <v>879</v>
      </c>
      <c r="B118" s="3" t="s">
        <v>104</v>
      </c>
      <c r="C118" t="str">
        <f t="shared" si="1"/>
        <v xml:space="preserve">INSERT INTO url(direccion,idFemicidio) VALUES (' http://www.diarioeldia.cl/pais/mujer-es-quemada-viva-por-su-marido-amigo-en-sur-chile ',' JP2017ch22 '); </v>
      </c>
    </row>
    <row r="119" spans="1:3" ht="15.75" thickBot="1">
      <c r="A119" s="21" t="s">
        <v>879</v>
      </c>
      <c r="B119" s="3" t="s">
        <v>105</v>
      </c>
      <c r="C119" t="str">
        <f t="shared" si="1"/>
        <v xml:space="preserve">INSERT INTO url(direccion,idFemicidio) VALUES (' http://www.elmostrador.cl/braga/2017/05/27/impactante-caso-de-femicidio-josefina-fue-asesinada-por-su-pareja-y-un-amigo/ ',' JP2017ch22 '); </v>
      </c>
    </row>
    <row r="120" spans="1:3" ht="15.75" thickBot="1">
      <c r="A120" s="21" t="s">
        <v>879</v>
      </c>
      <c r="B120" s="3" t="s">
        <v>106</v>
      </c>
      <c r="C120" t="str">
        <f t="shared" si="1"/>
        <v xml:space="preserve">INSERT INTO url(direccion,idFemicidio) VALUES (' http://www.24horas.cl/nacional/pareja-y-su-amigo-fueron-autores-de-femicidio-de-mujer-calcinada-en-freire-2397631 ',' JP2017ch22 '); </v>
      </c>
    </row>
    <row r="121" spans="1:3" ht="15.75" thickBot="1">
      <c r="A121" s="21" t="s">
        <v>879</v>
      </c>
      <c r="B121" s="3" t="s">
        <v>107</v>
      </c>
      <c r="C121" t="str">
        <f t="shared" si="1"/>
        <v xml:space="preserve">INSERT INTO url(direccion,idFemicidio) VALUES (' http://www.emol.com/noticias/Nacional/2017/05/27/860263/Mujer-muere-quemada-tras-ser-golpeada-por-su-pareja-y-un-amigo-en-la-comuna-de-Freire.html ',' JP2017ch22 '); </v>
      </c>
    </row>
    <row r="122" spans="1:3" ht="15.75" thickBot="1">
      <c r="A122" s="21" t="s">
        <v>879</v>
      </c>
      <c r="B122" s="3" t="s">
        <v>108</v>
      </c>
      <c r="C122" t="str">
        <f t="shared" si="1"/>
        <v xml:space="preserve">INSERT INTO url(direccion,idFemicidio) VALUES (' https://www.araucaniacuenta.cl/tag/josefina-allilef-huenchumil/ ',' JP2017ch22 '); </v>
      </c>
    </row>
    <row r="123" spans="1:3" ht="30.75" thickBot="1">
      <c r="A123" s="21" t="s">
        <v>880</v>
      </c>
      <c r="B123" s="3" t="s">
        <v>109</v>
      </c>
      <c r="C123" t="str">
        <f t="shared" si="1"/>
        <v xml:space="preserve">INSERT INTO url(direccion,idFemicidio) VALUES (' http://www.latercera.com/noticia/hombre-asfixio-pareja-recoleta-quedo-prision-preventiva/ ',' MS2017ch23 '); </v>
      </c>
    </row>
    <row r="124" spans="1:3" ht="30.75" thickBot="1">
      <c r="A124" s="21" t="s">
        <v>880</v>
      </c>
      <c r="B124" s="3" t="s">
        <v>110</v>
      </c>
      <c r="C124" t="str">
        <f t="shared" si="1"/>
        <v xml:space="preserve">INSERT INTO url(direccion,idFemicidio) VALUES (' http://www.latercera.com/noticia/femicidio-6/ ',' MS2017ch23 '); </v>
      </c>
    </row>
    <row r="125" spans="1:3" ht="30.75" thickBot="1">
      <c r="A125" s="21" t="s">
        <v>880</v>
      </c>
      <c r="B125" s="3" t="s">
        <v>111</v>
      </c>
      <c r="C125" t="str">
        <f t="shared" si="1"/>
        <v xml:space="preserve">INSERT INTO url(direccion,idFemicidio) VALUES (' https://elcomercio.pe/peru/ancash/justicia-chilena-dicta-prision-preventiva-asesino-chimbotana-432930 ',' MS2017ch23 '); </v>
      </c>
    </row>
    <row r="126" spans="1:3" ht="30.75" thickBot="1">
      <c r="A126" s="21" t="s">
        <v>880</v>
      </c>
      <c r="B126" s="3" t="s">
        <v>112</v>
      </c>
      <c r="C126" t="str">
        <f t="shared" si="1"/>
        <v xml:space="preserve">INSERT INTO url(direccion,idFemicidio) VALUES (' http://diariodechimbote.com/noticias-anteriores/94851-chimotana-es-asesinada-por-su-esposo-en-chile ',' MS2017ch23 '); </v>
      </c>
    </row>
    <row r="127" spans="1:3" ht="30.75" thickBot="1">
      <c r="A127" s="21" t="s">
        <v>880</v>
      </c>
      <c r="B127" s="3" t="s">
        <v>113</v>
      </c>
      <c r="C127" t="str">
        <f t="shared" si="1"/>
        <v xml:space="preserve">INSERT INTO url(direccion,idFemicidio) VALUES (' http://rpp.pe/mundo/chile/feminicidio-una-peruana-de-40-anos-fue-asesinada-por-su-pareja-en-chile-noticia-1055540 ',' MS2017ch23 '); </v>
      </c>
    </row>
    <row r="128" spans="1:3" ht="15.75" thickBot="1">
      <c r="A128" s="21" t="s">
        <v>881</v>
      </c>
      <c r="B128" s="3" t="s">
        <v>114</v>
      </c>
      <c r="C128" t="str">
        <f t="shared" si="1"/>
        <v xml:space="preserve">INSERT INTO url(direccion,idFemicidio) VALUES (' http://www.chvnoticias.cl/nacional/ex-pareja-seria-responsable-de-femicidio-y-homicidio-en-temuco/2017-06-07/140951.html ',' RB2017ch24 '); </v>
      </c>
    </row>
    <row r="129" spans="1:3" ht="15.75" thickBot="1">
      <c r="A129" s="21" t="s">
        <v>881</v>
      </c>
      <c r="B129" s="3" t="s">
        <v>115</v>
      </c>
      <c r="C129" t="str">
        <f t="shared" si="1"/>
        <v xml:space="preserve">INSERT INTO url(direccion,idFemicidio) VALUES (' http://www.redinformativa.cl/portada/tragedia-madre-y-dos-hijos-mueren-en-incendio/ ',' RB2017ch24 '); </v>
      </c>
    </row>
    <row r="130" spans="1:3" ht="15.75" thickBot="1">
      <c r="A130" s="21" t="s">
        <v>881</v>
      </c>
      <c r="B130" s="3" t="s">
        <v>116</v>
      </c>
      <c r="C130" t="str">
        <f t="shared" si="1"/>
        <v xml:space="preserve">INSERT INTO url(direccion,idFemicidio) VALUES (' http://www.soychile.cl/Temuco/Sociedad/2017/06/08/468850/Ministra-Pascual-condeno-el-homicidio-de-Roxana-Bravo-y-sus-dos-hijos.aspx ',' RB2017ch24 '); </v>
      </c>
    </row>
    <row r="131" spans="1:3" ht="15.75" thickBot="1">
      <c r="A131" s="21" t="s">
        <v>881</v>
      </c>
      <c r="B131" s="3" t="s">
        <v>117</v>
      </c>
      <c r="C131" t="str">
        <f t="shared" ref="C131:C194" si="2">"INSERT INTO url(direccion,idFemicidio) VALUES (' "&amp;B131&amp;" ',' "&amp;A131&amp;" '); "</f>
        <v xml:space="preserve">INSERT INTO url(direccion,idFemicidio) VALUES (' http://www.soychile.cl/Temuco/Policial/2017/06/06/468548/Madre-y-sus-dos-hijos-habrian-sido-asesinados-antes-del-incendio-en-San-Ramon.aspx ',' RB2017ch24 '); </v>
      </c>
    </row>
    <row r="132" spans="1:3" ht="15.75" thickBot="1">
      <c r="A132" s="21" t="s">
        <v>881</v>
      </c>
      <c r="B132" s="3" t="s">
        <v>118</v>
      </c>
      <c r="C132" t="str">
        <f t="shared" si="2"/>
        <v xml:space="preserve">INSERT INTO url(direccion,idFemicidio) VALUES (' http://www.biobiochile.cl/noticias/nacional/region-de-la-araucania/2017/06/07/investigan-a-hombre-que-habria-asesinado-y-quemado-a-mujer-con-sus-hijos-en-la-araucania.shtml ',' RB2017ch24 '); </v>
      </c>
    </row>
    <row r="133" spans="1:3" ht="15.75" thickBot="1">
      <c r="A133" s="21" t="s">
        <v>881</v>
      </c>
      <c r="B133" s="3" t="s">
        <v>119</v>
      </c>
      <c r="C133" t="str">
        <f t="shared" si="2"/>
        <v xml:space="preserve">INSERT INTO url(direccion,idFemicidio) VALUES (' http://www.temucodiario.cl/sitio/2017/06/09/temuco-decretan-prision-preventiva-de-imputado-por-un-delito-de-femicidio-dos-homicidios-e-incendio-en-san-ramon/ ',' RB2017ch24 '); </v>
      </c>
    </row>
    <row r="134" spans="1:3" ht="15.75" thickBot="1">
      <c r="A134" s="21" t="s">
        <v>881</v>
      </c>
      <c r="B134" s="3" t="s">
        <v>120</v>
      </c>
      <c r="C134" t="str">
        <f t="shared" si="2"/>
        <v xml:space="preserve">INSERT INTO url(direccion,idFemicidio) VALUES (' http://www.eldesconcierto.cl/2017/06/08/ya-van-35-femicidios-en-el-ano-mujer-y-su-hija-en-la-araucania-son-las-nuevas-victimas/ ',' RB2017ch24 '); </v>
      </c>
    </row>
    <row r="135" spans="1:3" ht="15.75" thickBot="1">
      <c r="A135" s="21" t="s">
        <v>882</v>
      </c>
      <c r="B135" s="3" t="s">
        <v>121</v>
      </c>
      <c r="C135" t="str">
        <f t="shared" si="2"/>
        <v xml:space="preserve">INSERT INTO url(direccion,idFemicidio) VALUES (' https://www.cooperativa.cl/noticias/pais/policial/femicidio/carabineros-detuvo-a-presunto-autor-de-femicidio-en-san-bernardo/2017-06-13/215823.html ',' PV2017ch25 '); </v>
      </c>
    </row>
    <row r="136" spans="1:3" ht="15.75" thickBot="1">
      <c r="A136" s="21" t="s">
        <v>882</v>
      </c>
      <c r="B136" s="3" t="s">
        <v>122</v>
      </c>
      <c r="C136" t="str">
        <f t="shared" si="2"/>
        <v xml:space="preserve">INSERT INTO url(direccion,idFemicidio) VALUES (' http://www.chvnoticias.cl/policial/detuvieron-a-responsable-del-homicidio-a-una-mujer-en-san-bernardo/2017-06-14/065502.html ',' PV2017ch25 '); </v>
      </c>
    </row>
    <row r="137" spans="1:3" ht="15.75" thickBot="1">
      <c r="A137" s="21" t="s">
        <v>883</v>
      </c>
      <c r="B137" s="3" t="s">
        <v>123</v>
      </c>
      <c r="C137" t="str">
        <f t="shared" si="2"/>
        <v xml:space="preserve">INSERT INTO url(direccion,idFemicidio) VALUES (' http://www.diarioeldia.cl/policial/presunto-autor-femicidio-ocurrido-en-companias-pasara-control-detencion ',' FR2017ch26 '); </v>
      </c>
    </row>
    <row r="138" spans="1:3" ht="15.75" thickBot="1">
      <c r="A138" s="21" t="s">
        <v>883</v>
      </c>
      <c r="B138" s="3" t="s">
        <v>124</v>
      </c>
      <c r="C138" t="str">
        <f t="shared" si="2"/>
        <v xml:space="preserve">INSERT INTO url(direccion,idFemicidio) VALUES (' http://www.diarioeldia.cl/policial/hombre-comete-femicidio-luego-intenta-suicidarse-en-serena ',' FR2017ch26 '); </v>
      </c>
    </row>
    <row r="139" spans="1:3" ht="15.75" thickBot="1">
      <c r="A139" s="21" t="s">
        <v>883</v>
      </c>
      <c r="B139" s="3" t="s">
        <v>125</v>
      </c>
      <c r="C139" t="str">
        <f t="shared" si="2"/>
        <v xml:space="preserve">INSERT INTO url(direccion,idFemicidio) VALUES (' http://www.elobservatodo.cl/etiquetas/fidelina-del-carmen-robledo-villalobos ',' FR2017ch26 '); </v>
      </c>
    </row>
    <row r="140" spans="1:3" ht="15.75" thickBot="1">
      <c r="A140" s="21" t="s">
        <v>883</v>
      </c>
      <c r="B140" s="3" t="s">
        <v>126</v>
      </c>
      <c r="C140" t="str">
        <f t="shared" si="2"/>
        <v xml:space="preserve">INSERT INTO url(direccion,idFemicidio) VALUES (' http://www.diariolaregion.cl/portal/?p=48894 ',' FR2017ch26 '); </v>
      </c>
    </row>
    <row r="141" spans="1:3" ht="15.75" thickBot="1">
      <c r="A141" s="21" t="s">
        <v>883</v>
      </c>
      <c r="B141" s="3" t="s">
        <v>127</v>
      </c>
      <c r="C141" t="str">
        <f t="shared" si="2"/>
        <v xml:space="preserve">INSERT INTO url(direccion,idFemicidio) VALUES (' http://www.biobiochile.cl/noticias/nacional/region-de-coquimbo/2017/07/29/mujer-murio-estrangulada-en-la-serena-y-pareja-intento-suicidarse-investigan-femicidio.shtml ',' FR2017ch26 '); </v>
      </c>
    </row>
    <row r="142" spans="1:3" ht="15.75" thickBot="1">
      <c r="A142" s="21" t="s">
        <v>883</v>
      </c>
      <c r="B142" s="3" t="s">
        <v>128</v>
      </c>
      <c r="C142" t="str">
        <f t="shared" si="2"/>
        <v xml:space="preserve">INSERT INTO url(direccion,idFemicidio) VALUES (' http://www.24horas.cl/regiones/coquimbo/femicidio-en-las-companias--2463701 ',' FR2017ch26 '); </v>
      </c>
    </row>
    <row r="143" spans="1:3" ht="15.75" thickBot="1">
      <c r="A143" s="21" t="s">
        <v>884</v>
      </c>
      <c r="B143" s="3" t="s">
        <v>129</v>
      </c>
      <c r="C143" t="str">
        <f t="shared" si="2"/>
        <v xml:space="preserve">INSERT INTO url(direccion,idFemicidio) VALUES (' http://www.biobiochile.cl/noticias/nacional/chile/2017/08/10/detienen-a-un-hombre-sorprendido-en-flagrancia-mientras-cometia-un-femicidio-en-santiago.shtml ',' YB2017ch27 '); </v>
      </c>
    </row>
    <row r="144" spans="1:3" ht="15.75" thickBot="1">
      <c r="A144" s="21" t="s">
        <v>884</v>
      </c>
      <c r="B144" s="3" t="s">
        <v>130</v>
      </c>
      <c r="C144" t="str">
        <f t="shared" si="2"/>
        <v xml:space="preserve">INSERT INTO url(direccion,idFemicidio) VALUES (' http://www.minmujeryeg.cl/prensa/noticias-prensa/nacional-noticias/ministra-pascual-tomado-contacto-la-familia-le-daremos-apoyo-legal-sicologico-requieran/ ',' YB2017ch27 '); </v>
      </c>
    </row>
    <row r="145" spans="1:3" ht="15.75" thickBot="1">
      <c r="A145" s="21" t="s">
        <v>884</v>
      </c>
      <c r="B145" s="3" t="s">
        <v>131</v>
      </c>
      <c r="C145" t="str">
        <f t="shared" si="2"/>
        <v xml:space="preserve">INSERT INTO url(direccion,idFemicidio) VALUES (' https://www.publimetro.cl/cl/noticias/2017/08/10/femicidio-santiago-detienen-hombre-ataco-arma-blanca-pareja.html ',' YB2017ch27 '); </v>
      </c>
    </row>
    <row r="146" spans="1:3" ht="15.75" thickBot="1">
      <c r="A146" s="21" t="s">
        <v>884</v>
      </c>
      <c r="B146" s="3" t="s">
        <v>132</v>
      </c>
      <c r="C146" t="str">
        <f t="shared" si="2"/>
        <v xml:space="preserve">INSERT INTO url(direccion,idFemicidio) VALUES (' http://www.emol.com/noticias/Nacional/2017/08/11/870638/Carabineros-detuvo-a-un-hombre-por-nuevo-caso-de-femicidio-en-Santiago-Centro.html ',' YB2017ch27 '); </v>
      </c>
    </row>
    <row r="147" spans="1:3" ht="15.75" thickBot="1">
      <c r="A147" s="21" t="s">
        <v>884</v>
      </c>
      <c r="B147" s="3" t="s">
        <v>129</v>
      </c>
      <c r="C147" t="str">
        <f t="shared" si="2"/>
        <v xml:space="preserve">INSERT INTO url(direccion,idFemicidio) VALUES (' http://www.biobiochile.cl/noticias/nacional/chile/2017/08/10/detienen-a-un-hombre-sorprendido-en-flagrancia-mientras-cometia-un-femicidio-en-santiago.shtml ',' YB2017ch27 '); </v>
      </c>
    </row>
    <row r="148" spans="1:3" ht="15.75" thickBot="1">
      <c r="A148" s="21" t="s">
        <v>884</v>
      </c>
      <c r="B148" s="3" t="s">
        <v>133</v>
      </c>
      <c r="C148" t="str">
        <f t="shared" si="2"/>
        <v xml:space="preserve">INSERT INTO url(direccion,idFemicidio) VALUES (' http://www.soychile.cl/Santiago/Policial/2017/08/10/481009/Carabineros-sorprendio-a-hombre-cometiendo-un-femicidio-en-Santiago.aspx ',' YB2017ch27 '); </v>
      </c>
    </row>
    <row r="149" spans="1:3" ht="15.75" thickBot="1">
      <c r="A149" s="21" t="s">
        <v>885</v>
      </c>
      <c r="B149" s="3" t="s">
        <v>134</v>
      </c>
      <c r="C149" t="str">
        <f t="shared" si="2"/>
        <v xml:space="preserve">INSERT INTO url(direccion,idFemicidio) VALUES (' http://www.latercera.com/noticia/femicidio-lontue-hombre-mato-expareja-la-via-publica-luego-se-suicido/ ',' JS2017ch28 '); </v>
      </c>
    </row>
    <row r="150" spans="1:3" ht="15.75" thickBot="1">
      <c r="A150" s="21" t="s">
        <v>885</v>
      </c>
      <c r="B150" s="3" t="s">
        <v>21</v>
      </c>
      <c r="C150" t="str">
        <f t="shared" si="2"/>
        <v xml:space="preserve">INSERT INTO url(direccion,idFemicidio) VALUES (' http://www.diarioeldia.cl/pais/hombre-asesina-su-expareja-se-suicida-en-plena-publica ',' JS2017ch28 '); </v>
      </c>
    </row>
    <row r="151" spans="1:3" ht="15.75" thickBot="1">
      <c r="A151" s="21" t="s">
        <v>885</v>
      </c>
      <c r="B151" s="3" t="s">
        <v>135</v>
      </c>
      <c r="C151" t="str">
        <f t="shared" si="2"/>
        <v xml:space="preserve">INSERT INTO url(direccion,idFemicidio) VALUES (' https://www.publimetro.cl/cl/noticias/2017/08/27/femicidio-curico-baleo-ex-pareja-frente-hijos-luego-se-suicido.html ',' JS2017ch28 '); </v>
      </c>
    </row>
    <row r="152" spans="1:3" ht="15.75" thickBot="1">
      <c r="A152" s="21" t="s">
        <v>885</v>
      </c>
      <c r="B152" s="3" t="s">
        <v>136</v>
      </c>
      <c r="C152" t="str">
        <f t="shared" si="2"/>
        <v xml:space="preserve">INSERT INTO url(direccion,idFemicidio) VALUES (' http://cronicanoticias.cl/noticias/jacqueline-del-transito-soto-fuentes/ ',' JS2017ch28 '); </v>
      </c>
    </row>
    <row r="153" spans="1:3" ht="15.75" thickBot="1">
      <c r="A153" s="21" t="s">
        <v>885</v>
      </c>
      <c r="B153" s="3" t="s">
        <v>137</v>
      </c>
      <c r="C153" t="str">
        <f t="shared" si="2"/>
        <v xml:space="preserve">INSERT INTO url(direccion,idFemicidio) VALUES (' http://www.radiocondell.cl/2017/08/28/nuevo-femicidio-individuo-frente-a-los-hijos-mato-a-su-esposa-y-luego-se-suicido/ ',' JS2017ch28 '); </v>
      </c>
    </row>
    <row r="154" spans="1:3" ht="15.75" thickBot="1">
      <c r="A154" s="21" t="s">
        <v>885</v>
      </c>
      <c r="B154" s="3" t="s">
        <v>138</v>
      </c>
      <c r="C154" t="str">
        <f t="shared" si="2"/>
        <v xml:space="preserve">INSERT INTO url(direccion,idFemicidio) VALUES (' http://www.diariolaprensa.cl/curico/femicidio-y-posterior-suicidio-estremece-a-lontue/ ',' JS2017ch28 '); </v>
      </c>
    </row>
    <row r="155" spans="1:3" ht="15.75" thickBot="1">
      <c r="A155" s="21" t="s">
        <v>885</v>
      </c>
      <c r="B155" s="3" t="s">
        <v>139</v>
      </c>
      <c r="C155" t="str">
        <f t="shared" si="2"/>
        <v xml:space="preserve">INSERT INTO url(direccion,idFemicidio) VALUES (' http://www.vivimoslanoticia.cl/curico/hombre-asesina-a-ex-pareja-y-luego-se-quita-la-vida-en-lontue/ ',' JS2017ch28 '); </v>
      </c>
    </row>
    <row r="156" spans="1:3" ht="30.75" thickBot="1">
      <c r="A156" s="21" t="s">
        <v>886</v>
      </c>
      <c r="B156" s="3" t="s">
        <v>140</v>
      </c>
      <c r="C156" t="str">
        <f t="shared" si="2"/>
        <v xml:space="preserve">INSERT INTO url(direccion,idFemicidio) VALUES (' http://www.biobiochile.cl/noticias/nacional/region-de-aysen/2017/08/31/investigan-femicidio-en-aysen-joven-madre-fue-hallada-muerta-y-policia-busca-a-su-pareja.shtml ',' GO2017ch29 '); </v>
      </c>
    </row>
    <row r="157" spans="1:3" ht="30.75" thickBot="1">
      <c r="A157" s="21" t="s">
        <v>886</v>
      </c>
      <c r="B157" s="3" t="s">
        <v>141</v>
      </c>
      <c r="C157" t="str">
        <f t="shared" si="2"/>
        <v xml:space="preserve">INSERT INTO url(direccion,idFemicidio) VALUES (' http://www.eldivisadero.cl/noticia-44584 ',' GO2017ch29 '); </v>
      </c>
    </row>
    <row r="158" spans="1:3" ht="30.75" thickBot="1">
      <c r="A158" s="21" t="s">
        <v>886</v>
      </c>
      <c r="B158" s="3" t="s">
        <v>142</v>
      </c>
      <c r="C158" t="str">
        <f t="shared" si="2"/>
        <v xml:space="preserve">INSERT INTO url(direccion,idFemicidio) VALUES (' https://cl.iurex.com/noticia/femicidio-en-cochrane-este-domingo-formalizan-a-imputado/1385727 ',' GO2017ch29 '); </v>
      </c>
    </row>
    <row r="159" spans="1:3" ht="15.75" thickBot="1">
      <c r="A159" s="21" t="s">
        <v>887</v>
      </c>
      <c r="B159" s="3" t="s">
        <v>143</v>
      </c>
      <c r="C159" t="str">
        <f t="shared" si="2"/>
        <v xml:space="preserve">INSERT INTO url(direccion,idFemicidio) VALUES (' http://www.biobiochile.cl/noticias/nacional/region-metropolitana/2017/09/07/brigada-de-homicidios-confirma-que-cuerpo-encontrado-en-melipilla-corresponde-a-una-mujer.shtml ',' IG2017ch30 '); </v>
      </c>
    </row>
    <row r="160" spans="1:3" ht="15.75" thickBot="1">
      <c r="A160" s="21" t="s">
        <v>887</v>
      </c>
      <c r="B160" s="3" t="s">
        <v>144</v>
      </c>
      <c r="C160" t="str">
        <f t="shared" si="2"/>
        <v xml:space="preserve">INSERT INTO url(direccion,idFemicidio) VALUES (' http://www.lasnoticiasdemalleco.cl/2017/09/12/en-angol-detienen-al-presunto-responsable-del-femicidio-de-una-mujer-hallada-en-el-rio-maipo-en-melipilla/ ',' IG2017ch30 '); </v>
      </c>
    </row>
    <row r="161" spans="1:3" ht="15.75" thickBot="1">
      <c r="A161" s="21" t="s">
        <v>887</v>
      </c>
      <c r="B161" s="3" t="s">
        <v>145</v>
      </c>
      <c r="C161" t="str">
        <f t="shared" si="2"/>
        <v xml:space="preserve">INSERT INTO url(direccion,idFemicidio) VALUES (' https://www.msn.com/es-cl/noticias/nacional/detienen-a-presunto-autor-del-asesinato-de-joven-descuartizada-en-melipilla/ar-AArJ6bD ',' IG2017ch30 '); </v>
      </c>
    </row>
    <row r="162" spans="1:3" ht="15.75" thickBot="1">
      <c r="A162" s="21" t="s">
        <v>887</v>
      </c>
      <c r="B162" s="3" t="s">
        <v>146</v>
      </c>
      <c r="C162" t="str">
        <f t="shared" si="2"/>
        <v xml:space="preserve">INSERT INTO url(direccion,idFemicidio) VALUES (' http://www.latercera.com/noticia/melipilla-Detenido-descuartizamiento-joven-sera-formalizado-femicidio/ ',' IG2017ch30 '); </v>
      </c>
    </row>
    <row r="163" spans="1:3" ht="15.75" thickBot="1">
      <c r="A163" s="21" t="s">
        <v>887</v>
      </c>
      <c r="B163" s="3" t="s">
        <v>147</v>
      </c>
      <c r="C163" t="str">
        <f t="shared" si="2"/>
        <v xml:space="preserve">INSERT INTO url(direccion,idFemicidio) VALUES (' http://www.24horas.cl/nacional/familia-confirma-identidad-de-mujer-descuartizada-en-melipilla-tras-reconocer-tatuaje-2500161 ',' IG2017ch30 '); </v>
      </c>
    </row>
    <row r="164" spans="1:3" ht="15.75" thickBot="1">
      <c r="A164" s="21" t="s">
        <v>887</v>
      </c>
      <c r="B164" s="3" t="s">
        <v>148</v>
      </c>
      <c r="C164" t="str">
        <f t="shared" si="2"/>
        <v xml:space="preserve">INSERT INTO url(direccion,idFemicidio) VALUES (' https://docs.google.com/spreadsheets/d/1YoRhvIyEnnM8PNWDB1dRu279pTIeFMVqCAuX5KTXSuU/edit#gid=58251827 ',' IG2017ch30 '); </v>
      </c>
    </row>
    <row r="165" spans="1:3" ht="30.75" thickBot="1">
      <c r="A165" s="21" t="s">
        <v>888</v>
      </c>
      <c r="B165" s="4" t="s">
        <v>149</v>
      </c>
      <c r="C165" t="str">
        <f t="shared" si="2"/>
        <v xml:space="preserve">INSERT INTO url(direccion,idFemicidio) VALUES (' http://www.minmujeryeg.cl/prensa/repudiamos-energicamente-la-violencia-machista-responsabilidad-toda-la-sociedad-avanzar-pronta-erradicacion/ http://www.centrodenoticias.cl/index.php/ultima-hora/805-asesinato-cuz-cuz-joven-abuelo http://www.diarioeldia.cl/policial/confuso-incidente-deja-mujer-fallecida-adulto-mayor-herido-en-illapel ',' AA2017ch31 '); </v>
      </c>
    </row>
    <row r="166" spans="1:3" ht="30.75" thickBot="1">
      <c r="A166" s="21" t="s">
        <v>888</v>
      </c>
      <c r="B166" s="4" t="s">
        <v>150</v>
      </c>
      <c r="C166" t="str">
        <f t="shared" si="2"/>
        <v xml:space="preserve">INSERT INTO url(direccion,idFemicidio) VALUES (' http://www.diarioeldia.cl/policial/hombre-acusado-dar-muerte-mujer-en-illapel-se-quito-vida http://www.centrodenoticias.cl/index.php/ultima-hora/808-autor-de-homicidio-que-conmociono-a-illapel-se-quito-la-vida ',' AA2017ch31 '); </v>
      </c>
    </row>
    <row r="167" spans="1:3" ht="30.75" thickBot="1">
      <c r="A167" s="21" t="s">
        <v>888</v>
      </c>
      <c r="B167" s="3" t="s">
        <v>151</v>
      </c>
      <c r="C167" t="str">
        <f t="shared" si="2"/>
        <v xml:space="preserve">INSERT INTO url(direccion,idFemicidio) VALUES (' https://www.publimetro.cl/cl/noticias/2017/09/09/pdi-investiga-la-muerte-una-mujer-27-anos-sector-cuz-cuz-ilapel.html ',' AA2017ch31 '); </v>
      </c>
    </row>
    <row r="168" spans="1:3" ht="30.75" thickBot="1">
      <c r="A168" s="21" t="s">
        <v>888</v>
      </c>
      <c r="B168" s="3" t="s">
        <v>152</v>
      </c>
      <c r="C168" t="str">
        <f t="shared" si="2"/>
        <v xml:space="preserve">INSERT INTO url(direccion,idFemicidio) VALUES (' http://www.diarioeldia.cl/policial/confuso-incidente-deja-mujer-fallecida-adulto-mayor-herido-en-illapel ',' AA2017ch31 '); </v>
      </c>
    </row>
    <row r="169" spans="1:3" ht="30.75" thickBot="1">
      <c r="A169" s="21" t="s">
        <v>888</v>
      </c>
      <c r="B169" s="3" t="s">
        <v>153</v>
      </c>
      <c r="C169" t="str">
        <f t="shared" si="2"/>
        <v xml:space="preserve">INSERT INTO url(direccion,idFemicidio) VALUES (' http://www.diarioeldia.cl/policial/hombre-acusado-dar-muerte-mujer-en-illapel-se-quito-vida ',' AA2017ch31 '); </v>
      </c>
    </row>
    <row r="170" spans="1:3" ht="30.75" thickBot="1">
      <c r="A170" s="21" t="s">
        <v>888</v>
      </c>
      <c r="B170" s="3" t="s">
        <v>154</v>
      </c>
      <c r="C170" t="str">
        <f t="shared" si="2"/>
        <v xml:space="preserve">INSERT INTO url(direccion,idFemicidio) VALUES (' http://www.cooperativa.cl/noticias/pais/policial/pdi-investiga-homicidio-de-mujer-en-illapel/2017-09-09/214838.html ',' AA2017ch31 '); </v>
      </c>
    </row>
    <row r="171" spans="1:3" ht="30.75" thickBot="1">
      <c r="A171" s="21" t="s">
        <v>888</v>
      </c>
      <c r="B171" s="3" t="s">
        <v>155</v>
      </c>
      <c r="C171" t="str">
        <f t="shared" si="2"/>
        <v xml:space="preserve">INSERT INTO url(direccion,idFemicidio) VALUES (' http://www.soychile.cl/Copiapo/Policial/2017/09/09/486509/Mataron-con-una-escopeta-a-mujer-de-27-anos-en-Illapel-tambien-hirieron-a-su-abuelo.aspx ',' AA2017ch31 '); </v>
      </c>
    </row>
    <row r="172" spans="1:3" ht="30.75" thickBot="1">
      <c r="A172" s="21" t="s">
        <v>889</v>
      </c>
      <c r="B172" s="3" t="s">
        <v>156</v>
      </c>
      <c r="C172" t="str">
        <f t="shared" si="2"/>
        <v xml:space="preserve">INSERT INTO url(direccion,idFemicidio) VALUES (' http://www.24horas.cl/nacional/sujeto-golpeo-con-utensilios-de-cocina-a-ex-pareja-tras-asesinarla-en-nunoa-2522903 ',' MH2017ch32 '); </v>
      </c>
    </row>
    <row r="173" spans="1:3" ht="30.75" thickBot="1">
      <c r="A173" s="21" t="s">
        <v>889</v>
      </c>
      <c r="B173" s="4" t="s">
        <v>157</v>
      </c>
      <c r="C173" t="str">
        <f t="shared" si="2"/>
        <v xml:space="preserve">INSERT INTO url(direccion,idFemicidio) VALUES (' http://aa.com.tr/es/mundo/colombiana-fue-asesinada-por-su-expareja-en-santiago-de-chile-/926801 http://www.lacuarta.com/noticia/detalles-de-nunoa/ ',' MH2017ch32 '); </v>
      </c>
    </row>
    <row r="174" spans="1:3" ht="30.75" thickBot="1">
      <c r="A174" s="21" t="s">
        <v>889</v>
      </c>
      <c r="B174" s="3" t="s">
        <v>156</v>
      </c>
      <c r="C174" t="str">
        <f t="shared" si="2"/>
        <v xml:space="preserve">INSERT INTO url(direccion,idFemicidio) VALUES (' http://www.24horas.cl/nacional/sujeto-golpeo-con-utensilios-de-cocina-a-ex-pareja-tras-asesinarla-en-nunoa-2522903 ',' MH2017ch32 '); </v>
      </c>
    </row>
    <row r="175" spans="1:3" ht="30.75" thickBot="1">
      <c r="A175" s="21" t="s">
        <v>889</v>
      </c>
      <c r="B175" s="3" t="s">
        <v>158</v>
      </c>
      <c r="C175" t="str">
        <f t="shared" si="2"/>
        <v xml:space="preserve">INSERT INTO url(direccion,idFemicidio) VALUES (' http://www.cooperativa.cl/noticias/pais/policial/femicidio/un-femicidio-y-posterior-suicidio-se-registro-en-nunoa/2017-10-03/111913.html ',' MH2017ch32 '); </v>
      </c>
    </row>
    <row r="176" spans="1:3" ht="30.75" thickBot="1">
      <c r="A176" s="21" t="s">
        <v>889</v>
      </c>
      <c r="B176" s="3" t="s">
        <v>159</v>
      </c>
      <c r="C176" t="str">
        <f t="shared" si="2"/>
        <v xml:space="preserve">INSERT INTO url(direccion,idFemicidio) VALUES (' http://aa.com.tr/es/mundo/colombiana-fue-asesinada-por-su-expareja-en-santiago-de-chile-/926801 ',' MH2017ch32 '); </v>
      </c>
    </row>
    <row r="177" spans="1:3" ht="30.75" thickBot="1">
      <c r="A177" s="21" t="s">
        <v>889</v>
      </c>
      <c r="B177" s="3" t="s">
        <v>160</v>
      </c>
      <c r="C177" t="str">
        <f t="shared" si="2"/>
        <v xml:space="preserve">INSERT INTO url(direccion,idFemicidio) VALUES (' https://costurerassinfronteras.blogspot.com/2017/10/heroinas-monica-alexandra-huertas-araya.html ',' MH2017ch32 '); </v>
      </c>
    </row>
    <row r="178" spans="1:3" ht="15.75" thickBot="1">
      <c r="A178" s="21" t="s">
        <v>890</v>
      </c>
      <c r="B178" s="4" t="s">
        <v>161</v>
      </c>
      <c r="C178" t="str">
        <f t="shared" si="2"/>
        <v xml:space="preserve">INSERT INTO url(direccion,idFemicidio) VALUES (' http://tvcanal5.cl/femicidio-hombre-apunalo-a-su-pareja-y-luego-se-suicido-en-el-living-de-su-casa/ https://cronicanoticiosa.com/2017/10/20/femicidio-y-suicidio-estremece-a-la-localidad-de-tinguiririca/ ',' CA2017ch33 '); </v>
      </c>
    </row>
    <row r="179" spans="1:3" ht="15.75" thickBot="1">
      <c r="A179" s="21" t="s">
        <v>890</v>
      </c>
      <c r="B179" s="3" t="s">
        <v>162</v>
      </c>
      <c r="C179" t="str">
        <f t="shared" si="2"/>
        <v xml:space="preserve">INSERT INTO url(direccion,idFemicidio) VALUES (' https://www.cooperativa.cl/noticias/pais/policial/femicidio/hombre-mato-a-su-conviviente-y-se-suicido/2017-10-20/141029.html ',' CA2017ch33 '); </v>
      </c>
    </row>
    <row r="180" spans="1:3" ht="15.75" thickBot="1">
      <c r="A180" s="21" t="s">
        <v>890</v>
      </c>
      <c r="B180" s="3" t="s">
        <v>163</v>
      </c>
      <c r="C180" t="str">
        <f t="shared" si="2"/>
        <v xml:space="preserve">INSERT INTO url(direccion,idFemicidio) VALUES (' https://reportechile.net/2017/10/hombre-mato-a-su-conviviente-y-se-suicido-en-san-fernando/ ',' CA2017ch33 '); </v>
      </c>
    </row>
    <row r="181" spans="1:3" ht="30.75" thickBot="1">
      <c r="A181" s="21" t="s">
        <v>891</v>
      </c>
      <c r="B181" s="4" t="s">
        <v>164</v>
      </c>
      <c r="C181" t="str">
        <f t="shared" si="2"/>
        <v xml:space="preserve">INSERT INTO url(direccion,idFemicidio) VALUES (' http://www.elchelenko.cl/2017/10/familia-de-mujer-desaparecida-en.html http://aysenlinea.cl/mujer-desaparecida-habria-sido-encontrada-muerta-al-interior-de-una-vivienda-en-coyhaique/ ',' DM2017ch34 '); </v>
      </c>
    </row>
    <row r="182" spans="1:3" ht="30.75" thickBot="1">
      <c r="A182" s="21" t="s">
        <v>891</v>
      </c>
      <c r="B182" s="3" t="s">
        <v>165</v>
      </c>
      <c r="C182" t="str">
        <f t="shared" si="2"/>
        <v xml:space="preserve">INSERT INTO url(direccion,idFemicidio) VALUES (' http://www.elchelenko.cl/2017/10/encuentran-el-cuerpo-sin-vida-de-mujer.html ',' DM2017ch34 '); </v>
      </c>
    </row>
    <row r="183" spans="1:3" ht="30.75" thickBot="1">
      <c r="A183" s="21" t="s">
        <v>891</v>
      </c>
      <c r="B183" s="3" t="s">
        <v>166</v>
      </c>
      <c r="C183" t="str">
        <f t="shared" si="2"/>
        <v xml:space="preserve">INSERT INTO url(direccion,idFemicidio) VALUES (' http://www.eldivisadero.cl/noticia-45286 ',' DM2017ch34 '); </v>
      </c>
    </row>
    <row r="184" spans="1:3" ht="30.75" thickBot="1">
      <c r="A184" s="21" t="s">
        <v>891</v>
      </c>
      <c r="B184" s="3" t="s">
        <v>167</v>
      </c>
      <c r="C184" t="str">
        <f t="shared" si="2"/>
        <v xml:space="preserve">INSERT INTO url(direccion,idFemicidio) VALUES (' http://www.biobiochile.cl/noticias/nacional/region-de-aysen/2017/10/23/aclaran-asesinato-de-joven-madre-y-posterior-suicido-de-autor-del-crimen-en-coyhaique.shtml ',' DM2017ch34 '); </v>
      </c>
    </row>
    <row r="185" spans="1:3" ht="30.75" thickBot="1">
      <c r="A185" s="21" t="s">
        <v>891</v>
      </c>
      <c r="B185" s="3" t="s">
        <v>168</v>
      </c>
      <c r="C185" t="str">
        <f t="shared" si="2"/>
        <v xml:space="preserve">INSERT INTO url(direccion,idFemicidio) VALUES (' http://www.radioestrelladelmar.cl/?p=13768 ',' DM2017ch34 '); </v>
      </c>
    </row>
    <row r="186" spans="1:3" ht="30.75" thickBot="1">
      <c r="A186" s="21" t="s">
        <v>891</v>
      </c>
      <c r="B186" s="3" t="s">
        <v>169</v>
      </c>
      <c r="C186" t="str">
        <f t="shared" si="2"/>
        <v xml:space="preserve">INSERT INTO url(direccion,idFemicidio) VALUES (' https://laprensaaustral.cl/nacional/asesinato-y-suicidio-de-una-pareja-estremece-a-comunidad-de-coyhaique/ ',' DM2017ch34 '); </v>
      </c>
    </row>
    <row r="187" spans="1:3" ht="30.75" thickBot="1">
      <c r="A187" s="21" t="s">
        <v>891</v>
      </c>
      <c r="B187" s="3" t="s">
        <v>170</v>
      </c>
      <c r="C187" t="str">
        <f t="shared" si="2"/>
        <v xml:space="preserve">INSERT INTO url(direccion,idFemicidio) VALUES (' http://tvcanal5.cl/policial/ ',' DM2017ch34 '); </v>
      </c>
    </row>
    <row r="188" spans="1:3" ht="30.75" thickBot="1">
      <c r="A188" s="21" t="s">
        <v>892</v>
      </c>
      <c r="B188" s="3" t="s">
        <v>171</v>
      </c>
      <c r="C188" t="str">
        <f t="shared" si="2"/>
        <v xml:space="preserve">INSERT INTO url(direccion,idFemicidio) VALUES (' http://www.latercera.com/noticia/detienen-acusado-matar-pareja-solo-18-anos/ ',' MM2017ch35 '); </v>
      </c>
    </row>
    <row r="189" spans="1:3" ht="30.75" thickBot="1">
      <c r="A189" s="21" t="s">
        <v>892</v>
      </c>
      <c r="B189" s="3" t="s">
        <v>172</v>
      </c>
      <c r="C189" t="str">
        <f t="shared" si="2"/>
        <v xml:space="preserve">INSERT INTO url(direccion,idFemicidio) VALUES (' http://www.cooperativa.cl/noticias/pais/policial/carabineros-detuvo-a-hombre-acusado-de-femicidio-en-puente-alto/2017-10-30/033815.html ',' MM2017ch35 '); </v>
      </c>
    </row>
    <row r="190" spans="1:3" ht="30.75" thickBot="1">
      <c r="A190" s="21" t="s">
        <v>892</v>
      </c>
      <c r="B190" s="3" t="s">
        <v>173</v>
      </c>
      <c r="C190" t="str">
        <f t="shared" si="2"/>
        <v xml:space="preserve">INSERT INTO url(direccion,idFemicidio) VALUES (' http://www.biobiochile.cl/noticias/nacional/region-metropolitana/2017/10/30/detienen-a-hombre-acusado-de-femicidio-en-puente-alto-fue-denunciado-por-sus-padres.shtml ',' MM2017ch35 '); </v>
      </c>
    </row>
    <row r="191" spans="1:3" ht="30.75" thickBot="1">
      <c r="A191" s="21" t="s">
        <v>892</v>
      </c>
      <c r="B191" s="3" t="s">
        <v>174</v>
      </c>
      <c r="C191" t="str">
        <f t="shared" si="2"/>
        <v xml:space="preserve">INSERT INTO url(direccion,idFemicidio) VALUES (' http://www.soychile.cl/Santiago/Sociedad/2017/10/30/495869/SernamEG-condeno-femicidio-en-Puente-Alto-Victimas-como-Muriel-no-son-solo-cifras.aspx ',' MM2017ch35 '); </v>
      </c>
    </row>
    <row r="192" spans="1:3" ht="30.75" thickBot="1">
      <c r="A192" s="21" t="s">
        <v>892</v>
      </c>
      <c r="B192" s="3" t="s">
        <v>172</v>
      </c>
      <c r="C192" t="str">
        <f t="shared" si="2"/>
        <v xml:space="preserve">INSERT INTO url(direccion,idFemicidio) VALUES (' http://www.cooperativa.cl/noticias/pais/policial/carabineros-detuvo-a-hombre-acusado-de-femicidio-en-puente-alto/2017-10-30/033815.html ',' MM2017ch35 '); </v>
      </c>
    </row>
    <row r="193" spans="1:3" ht="30.75" thickBot="1">
      <c r="A193" s="21" t="s">
        <v>892</v>
      </c>
      <c r="B193" s="3" t="s">
        <v>175</v>
      </c>
      <c r="C193" t="str">
        <f t="shared" si="2"/>
        <v xml:space="preserve">INSERT INTO url(direccion,idFemicidio) VALUES (' http://puentealtoaldia.cl/2017/10/30/brutal-femicidio-protagonizo-sujeto-de-22-anos/ ',' MM2017ch35 '); </v>
      </c>
    </row>
    <row r="194" spans="1:3" ht="15.75" thickBot="1">
      <c r="A194" s="21" t="s">
        <v>893</v>
      </c>
      <c r="B194" s="3" t="s">
        <v>176</v>
      </c>
      <c r="C194" t="str">
        <f t="shared" si="2"/>
        <v xml:space="preserve">INSERT INTO url(direccion,idFemicidio) VALUES (' http://www.eldesconcierto.cl/2017/08/31/ministra-claudia-pascual-sobre-mujer-de-vina-del-mar-que-alerto-su-femicidio-no-fue-posible-persistir-en-la-terapia/ ',' VZ2017ch36 '); </v>
      </c>
    </row>
    <row r="195" spans="1:3" ht="15.75" thickBot="1">
      <c r="A195" s="21" t="s">
        <v>893</v>
      </c>
      <c r="B195" s="3" t="s">
        <v>177</v>
      </c>
      <c r="C195" t="str">
        <f t="shared" ref="C195:C258" si="3">"INSERT INTO url(direccion,idFemicidio) VALUES (' "&amp;B195&amp;" ',' "&amp;A195&amp;" '); "</f>
        <v xml:space="preserve">INSERT INTO url(direccion,idFemicidio) VALUES (' http://www.cooperativa.cl/noticias/pais/policial/mujer-fue-encontrada-muerta-junto-a-su-hija-de-un-ano-en-vina-del-mar/2017-08-28/112209.html#vtxt_cuerpo_T0 ',' VZ2017ch36 '); </v>
      </c>
    </row>
    <row r="196" spans="1:3" ht="15.75" thickBot="1">
      <c r="A196" s="21" t="s">
        <v>893</v>
      </c>
      <c r="B196" s="3" t="s">
        <v>178</v>
      </c>
      <c r="C196" t="str">
        <f t="shared" si="3"/>
        <v xml:space="preserve">INSERT INTO url(direccion,idFemicidio) VALUES (' http://www.cooperativa.cl/noticias/pais/policial/sml-golpe-en-el-rostro-provoco-muerte-a-joven-madre-de-vina-del-mar/2017-08-29/224416.html ',' VZ2017ch36 '); </v>
      </c>
    </row>
    <row r="197" spans="1:3" ht="15.75" thickBot="1">
      <c r="A197" s="21" t="s">
        <v>893</v>
      </c>
      <c r="B197" s="3" t="s">
        <v>179</v>
      </c>
      <c r="C197" t="str">
        <f t="shared" si="3"/>
        <v xml:space="preserve">INSERT INTO url(direccion,idFemicidio) VALUES (' http://www.soychile.cl/Valparaiso/Sociedad/2017/08/29/484361/Mujer-asesinada-en-Vina-habia-interpuesto-tres-denuncias-por-violencia-intrafamiliar.aspx ',' VZ2017ch36 '); </v>
      </c>
    </row>
    <row r="198" spans="1:3" ht="15.75" thickBot="1">
      <c r="A198" s="21" t="s">
        <v>894</v>
      </c>
      <c r="B198" s="3" t="s">
        <v>180</v>
      </c>
      <c r="C198" t="str">
        <f t="shared" si="3"/>
        <v xml:space="preserve">INSERT INTO url(direccion,idFemicidio) VALUES (' http://www.chvnoticias.cl/policial/autor-de-femicidio-en-san-bernardo-confeso-el-crimen-tras-su-detencion/2017-11-11/162104.html ',' CV2017ch37 '); </v>
      </c>
    </row>
    <row r="199" spans="1:3" ht="15.75" thickBot="1">
      <c r="A199" s="21" t="s">
        <v>894</v>
      </c>
      <c r="B199" s="3" t="s">
        <v>181</v>
      </c>
      <c r="C199" t="str">
        <f t="shared" si="3"/>
        <v xml:space="preserve">INSERT INTO url(direccion,idFemicidio) VALUES (' http://www.soychile.cl/Santiago/Policial/2017/11/11/498361/Amiga-de-la-victima-de-femicidio-en-San-Bernardo-conto-episodios-de-violencia-de-su-pareja-Aparecio-con-el-ojo-morado.aspx ',' CV2017ch37 '); </v>
      </c>
    </row>
    <row r="200" spans="1:3" ht="15.75" thickBot="1">
      <c r="A200" s="21" t="s">
        <v>894</v>
      </c>
      <c r="B200" s="3" t="s">
        <v>182</v>
      </c>
      <c r="C200" t="str">
        <f t="shared" si="3"/>
        <v xml:space="preserve">INSERT INTO url(direccion,idFemicidio) VALUES (' http://www.minmujeryeg.cl/prensa/noticias-prensa/noticias-destacadas/repudiamos-este-nuevo-caso-violencia-extrema-una-mujer-ya-estamos-trabajando-ofrecer-todos-los-apoyos-familia-se-haga-justicia/ ',' CV2017ch37 '); </v>
      </c>
    </row>
    <row r="201" spans="1:3" ht="15.75" thickBot="1">
      <c r="A201" s="21" t="s">
        <v>895</v>
      </c>
      <c r="B201" s="3" t="s">
        <v>183</v>
      </c>
      <c r="C201" t="str">
        <f t="shared" si="3"/>
        <v xml:space="preserve">INSERT INTO url(direccion,idFemicidio) VALUES (' http+Z3:AF10://www.latercera.com/noticia/mujer-venezolana-la-quinta-extranjera-victima-femicidio/ ',' Sd2017ch38 '); </v>
      </c>
    </row>
    <row r="202" spans="1:3" ht="15.75" thickBot="1">
      <c r="A202" s="21" t="s">
        <v>895</v>
      </c>
      <c r="B202" s="3" t="s">
        <v>184</v>
      </c>
      <c r="C202" t="str">
        <f t="shared" si="3"/>
        <v xml:space="preserve">INSERT INTO url(direccion,idFemicidio) VALUES (' http://www.latercera.com/noticia/detienen-hombre-sospechoso-apunalar-pareja/ ',' Sd2017ch38 '); </v>
      </c>
    </row>
    <row r="203" spans="1:3" ht="15.75" thickBot="1">
      <c r="A203" s="21" t="s">
        <v>895</v>
      </c>
      <c r="B203" s="3" t="s">
        <v>185</v>
      </c>
      <c r="C203" t="str">
        <f t="shared" si="3"/>
        <v xml:space="preserve">INSERT INTO url(direccion,idFemicidio) VALUES (' http://www.biobiochile.cl/noticias/nacional/region-metropolitana/2017/11/05/hombre-fue-Detenido-por-matar-a-su-pareja-en-santiago-es-el-femicidio-35-durante-2017.shtml ',' Sd2017ch38 '); </v>
      </c>
    </row>
    <row r="204" spans="1:3" ht="15.75" thickBot="1">
      <c r="A204" s="21" t="s">
        <v>895</v>
      </c>
      <c r="B204" s="3" t="s">
        <v>186</v>
      </c>
      <c r="C204" t="str">
        <f t="shared" si="3"/>
        <v xml:space="preserve">INSERT INTO url(direccion,idFemicidio) VALUES (' http://www.adnradio.cl/noticias/nacional/nuevo-femicidio-en-chile-hombre-mato-a-su-pareja-con-un-arma-blanca/20171105/nota/3628750.aspx ',' Sd2017ch38 '); </v>
      </c>
    </row>
    <row r="205" spans="1:3" ht="15.75" thickBot="1">
      <c r="A205" s="21" t="s">
        <v>895</v>
      </c>
      <c r="B205" s="3" t="s">
        <v>187</v>
      </c>
      <c r="C205" t="str">
        <f t="shared" si="3"/>
        <v xml:space="preserve">INSERT INTO url(direccion,idFemicidio) VALUES (' http://www.panorama.com.ve/sucesos/Asesinaron-a-venezolana-en-un-apartamento-en-Santiago-de-Chile-20171105-0041.html ',' Sd2017ch38 '); </v>
      </c>
    </row>
    <row r="206" spans="1:3" ht="15.75" thickBot="1">
      <c r="A206" s="21" t="s">
        <v>895</v>
      </c>
      <c r="B206" s="3" t="s">
        <v>188</v>
      </c>
      <c r="C206" t="str">
        <f t="shared" si="3"/>
        <v xml:space="preserve">INSERT INTO url(direccion,idFemicidio) VALUES (' http://segundoenfoque.com/venezolana-se-convirtio-la-quinta-victima-extranjera-feminicidio-chile-2017-11-06 ',' Sd2017ch38 '); </v>
      </c>
    </row>
    <row r="207" spans="1:3" ht="15.75" thickBot="1">
      <c r="A207" s="21" t="s">
        <v>895</v>
      </c>
      <c r="B207" s="3" t="s">
        <v>189</v>
      </c>
      <c r="C207" t="str">
        <f t="shared" si="3"/>
        <v xml:space="preserve">INSERT INTO url(direccion,idFemicidio) VALUES (' http://www.ntn24.com/noticia/mujer-venezolana-muere-asesinada-de-13-punaladas-por-su-pareja-en-chile-157175 ',' Sd2017ch38 '); </v>
      </c>
    </row>
    <row r="208" spans="1:3" ht="15.75" thickBot="1">
      <c r="A208" s="21" t="s">
        <v>896</v>
      </c>
      <c r="B208" s="3" t="s">
        <v>190</v>
      </c>
      <c r="C208" t="str">
        <f t="shared" si="3"/>
        <v xml:space="preserve">INSERT INTO url(direccion,idFemicidio) VALUES (' http://www.biobiochile.cl/noticias/nacional/region-de-los-rios/2017/11/21/formalizan-a-hombre-acusado-de-femicidio-en-valdivia-arriesga-hasta-15-anos-de-carcel.shtml ',' KU2017ch39 '); </v>
      </c>
    </row>
    <row r="209" spans="1:3" ht="15.75" thickBot="1">
      <c r="A209" s="21" t="s">
        <v>896</v>
      </c>
      <c r="B209" s="3" t="s">
        <v>191</v>
      </c>
      <c r="C209" t="str">
        <f t="shared" si="3"/>
        <v xml:space="preserve">INSERT INTO url(direccion,idFemicidio) VALUES (' http://www.biobiochile.cl/noticias/nacional/region-de-los-rios/2017/11/19/femicidio-en-los-rios-hombre-corto-3-veces-el-cuello-de-su-pareja-en-sector-los-dorsales.shtml ',' KU2017ch39 '); </v>
      </c>
    </row>
    <row r="210" spans="1:3" ht="15.75" thickBot="1">
      <c r="A210" s="21" t="s">
        <v>896</v>
      </c>
      <c r="B210" s="3" t="s">
        <v>192</v>
      </c>
      <c r="C210" t="str">
        <f t="shared" si="3"/>
        <v xml:space="preserve">INSERT INTO url(direccion,idFemicidio) VALUES (' http://www.biobiochile.cl/noticias/nacional/region-de-los-rios/2017/11/20/amplian-detencion-de-hombre-acusado-de-asesinar-a-su-expareja-en-valdivia.shtml ',' KU2017ch39 '); </v>
      </c>
    </row>
    <row r="211" spans="1:3" ht="15.75" thickBot="1">
      <c r="A211" s="21" t="s">
        <v>897</v>
      </c>
      <c r="B211" s="3" t="s">
        <v>193</v>
      </c>
      <c r="C211" t="str">
        <f t="shared" si="3"/>
        <v xml:space="preserve">INSERT INTO url(direccion,idFemicidio) VALUES (' http://www.biobiochile.cl/noticias/nacional/region-metropolitana/2017/11/29/registran-nuevo-femicidio-en-lo-espejo-hombre-mato-a-mujer-de-un-disparo-en-el-pecho.shtml ',' LR2017ch40 '); </v>
      </c>
    </row>
    <row r="212" spans="1:3" ht="15.75" thickBot="1">
      <c r="A212" s="21" t="s">
        <v>897</v>
      </c>
      <c r="B212" s="3" t="s">
        <v>194</v>
      </c>
      <c r="C212" t="str">
        <f t="shared" si="3"/>
        <v xml:space="preserve">INSERT INTO url(direccion,idFemicidio) VALUES (' http://www.chvnoticias.cl/policial/sujeto-asesino-a-su-pareja-en-plena-via-publica-en-lo-espejo/2017-11-30/065314.html ',' LR2017ch40 '); </v>
      </c>
    </row>
    <row r="213" spans="1:3" ht="15.75" thickBot="1">
      <c r="A213" s="21" t="s">
        <v>897</v>
      </c>
      <c r="B213" s="3" t="s">
        <v>195</v>
      </c>
      <c r="C213" t="str">
        <f t="shared" si="3"/>
        <v xml:space="preserve">INSERT INTO url(direccion,idFemicidio) VALUES (' http://m.cooperativa.cl/noticias/pais/policial/femicidio/lo-espejo-hombre-mato-de-un-balazo-a-su-pareja-en-plena-calle/2017-11-29/223224.html ',' LR2017ch40 '); </v>
      </c>
    </row>
    <row r="214" spans="1:3" ht="15.75" thickBot="1">
      <c r="A214" s="21" t="s">
        <v>897</v>
      </c>
      <c r="B214" s="3" t="s">
        <v>196</v>
      </c>
      <c r="C214" t="str">
        <f t="shared" si="3"/>
        <v xml:space="preserve">INSERT INTO url(direccion,idFemicidio) VALUES (' http://www.cooperativa.cl/noticias/pais/policial/femicidio/lo-espejo-hombre-mato-de-un-balazo-a-su-pareja-en-plena-calle/2017-11-29/223224.html ',' LR2017ch40 '); </v>
      </c>
    </row>
    <row r="215" spans="1:3" ht="15.75" thickBot="1">
      <c r="A215" s="21" t="s">
        <v>898</v>
      </c>
      <c r="B215" s="3" t="s">
        <v>197</v>
      </c>
      <c r="C215" t="str">
        <f t="shared" si="3"/>
        <v xml:space="preserve">INSERT INTO url(direccion,idFemicidio) VALUES (' http://www.biobiochile.cl/noticias/nacional/region-de-los-rios/2017/12/08/pdi-indaga-paradero-de-hombre-acusado-de-homicidio-y-femicidio-en-los-rios.shtml ',' YJ2017ch41 '); </v>
      </c>
    </row>
    <row r="216" spans="1:3" ht="15.75" thickBot="1">
      <c r="A216" s="21" t="s">
        <v>898</v>
      </c>
      <c r="B216" s="3" t="s">
        <v>198</v>
      </c>
      <c r="C216" t="str">
        <f t="shared" si="3"/>
        <v xml:space="preserve">INSERT INTO url(direccion,idFemicidio) VALUES (' http://www.biobiochile.cl/noticias/nacional/region-de-los-rios/2017/12/08/carabineros-busca-a-persona-acusada-de-asesinar-a-hombre-en-los-rios.shtml ',' YJ2017ch41 '); </v>
      </c>
    </row>
    <row r="217" spans="1:3" ht="15.75" thickBot="1">
      <c r="A217" s="21" t="s">
        <v>898</v>
      </c>
      <c r="B217" s="3" t="s">
        <v>197</v>
      </c>
      <c r="C217" t="str">
        <f t="shared" si="3"/>
        <v xml:space="preserve">INSERT INTO url(direccion,idFemicidio) VALUES (' http://www.biobiochile.cl/noticias/nacional/region-de-los-rios/2017/12/08/pdi-indaga-paradero-de-hombre-acusado-de-homicidio-y-femicidio-en-los-rios.shtml ',' YJ2017ch41 '); </v>
      </c>
    </row>
    <row r="218" spans="1:3" ht="15.75" thickBot="1">
      <c r="A218" s="21" t="s">
        <v>898</v>
      </c>
      <c r="B218" s="3" t="s">
        <v>199</v>
      </c>
      <c r="C218" t="str">
        <f t="shared" si="3"/>
        <v xml:space="preserve">INSERT INTO url(direccion,idFemicidio) VALUES (' http://tvcanal5.cl/liquine-sujeto-asesino-a-su-ex-pareja-y-al-conviviente-de-la-mujer-y-luego-escapo-hacia-la-frontera/ ',' YJ2017ch41 '); </v>
      </c>
    </row>
    <row r="219" spans="1:3" ht="15.75" thickBot="1">
      <c r="A219" s="21" t="s">
        <v>898</v>
      </c>
      <c r="B219" s="3" t="s">
        <v>200</v>
      </c>
      <c r="C219" t="str">
        <f t="shared" si="3"/>
        <v xml:space="preserve">INSERT INTO url(direccion,idFemicidio) VALUES (' http://www.emol.com/noticias/Nacional/2017/12/09/886636/Hombre-se-dio-a-la-fuga-tras-asesinar-a-su-ex-pareja-y-a-conviviente-en-Los-Rios.html ',' YJ2017ch41 '); </v>
      </c>
    </row>
    <row r="220" spans="1:3" ht="15.75" thickBot="1">
      <c r="A220" s="21" t="s">
        <v>898</v>
      </c>
      <c r="B220" s="3" t="s">
        <v>201</v>
      </c>
      <c r="C220" t="str">
        <f t="shared" si="3"/>
        <v xml:space="preserve">INSERT INTO url(direccion,idFemicidio) VALUES (' http://www.voceroregional.cl/2017/12/09/ministra-pascual-condeno-femicidio-ocurrido-en-panguipulli/ ',' YJ2017ch41 '); </v>
      </c>
    </row>
    <row r="221" spans="1:3" ht="15.75" thickBot="1">
      <c r="A221" s="21" t="s">
        <v>898</v>
      </c>
      <c r="B221" s="3" t="s">
        <v>202</v>
      </c>
      <c r="C221" t="str">
        <f t="shared" si="3"/>
        <v xml:space="preserve">INSERT INTO url(direccion,idFemicidio) VALUES (' https://rioenlinea.cl/2017/12/09/liquine-buscan-a-individuo-que-mato-a-su-ex-pareja-y-al-hombre-que-mantendria-una-relacion-con-ella/ ',' YJ2017ch41 '); </v>
      </c>
    </row>
    <row r="222" spans="1:3" ht="15.75" thickBot="1">
      <c r="A222" s="21" t="s">
        <v>899</v>
      </c>
      <c r="B222" s="3" t="s">
        <v>203</v>
      </c>
      <c r="C222" t="str">
        <f t="shared" si="3"/>
        <v xml:space="preserve">INSERT INTO url(direccion,idFemicidio) VALUES (' http://www.cooperativa.cl/noticias/pais/policial/femicidio/el-primer-caso-de-femicidio-de-2016/2016-01-02/122326.html ',' CG2016ch1 '); </v>
      </c>
    </row>
    <row r="223" spans="1:3" ht="15.75" thickBot="1">
      <c r="A223" s="21" t="s">
        <v>899</v>
      </c>
      <c r="B223" s="3" t="s">
        <v>204</v>
      </c>
      <c r="C223" t="str">
        <f t="shared" si="3"/>
        <v xml:space="preserve">INSERT INTO url(direccion,idFemicidio) VALUES (' http://www.soychile.cl/Santiago/Policial/2016/01/02/367535/Crimen-de-mujer-de-37-anos-se-convierte-en-el-primer-femicidio-de-2016.aspx ',' CG2016ch1 '); </v>
      </c>
    </row>
    <row r="224" spans="1:3" ht="15.75" thickBot="1">
      <c r="A224" s="21" t="s">
        <v>899</v>
      </c>
      <c r="B224" s="3" t="s">
        <v>205</v>
      </c>
      <c r="C224" t="str">
        <f t="shared" si="3"/>
        <v xml:space="preserve">INSERT INTO url(direccion,idFemicidio) VALUES (' http://www.theclinic.cl/2016/01/02/crimen-de-mujer-de-37-anos-se-convierte-primer-femicidio-de-2016/ ',' CG2016ch1 '); </v>
      </c>
    </row>
    <row r="225" spans="1:3" ht="15.75" thickBot="1">
      <c r="A225" s="21" t="s">
        <v>899</v>
      </c>
      <c r="B225" s="3" t="s">
        <v>206</v>
      </c>
      <c r="C225" t="str">
        <f t="shared" si="3"/>
        <v xml:space="preserve">INSERT INTO url(direccion,idFemicidio) VALUES (' http://www.cronicaviva.com.pe/tag/claudia-gonzalez-ovalle/ ',' CG2016ch1 '); </v>
      </c>
    </row>
    <row r="226" spans="1:3" ht="15.75" thickBot="1">
      <c r="A226" s="21" t="s">
        <v>899</v>
      </c>
      <c r="B226" s="3" t="s">
        <v>207</v>
      </c>
      <c r="C226" t="str">
        <f t="shared" si="3"/>
        <v xml:space="preserve">INSERT INTO url(direccion,idFemicidio) VALUES (' http://www.24horas.cl/nacional/mujer-atacada-por-su-pareja-fallece-en-hospital-san-jose-1887782 ',' CG2016ch1 '); </v>
      </c>
    </row>
    <row r="227" spans="1:3" ht="15.75" thickBot="1">
      <c r="A227" s="21" t="s">
        <v>899</v>
      </c>
      <c r="B227" s="3" t="s">
        <v>208</v>
      </c>
      <c r="C227" t="str">
        <f t="shared" si="3"/>
        <v xml:space="preserve">INSERT INTO url(direccion,idFemicidio) VALUES (' http://www.chvnoticias.cl/policial/hombre-asesino-a-su-pareja-por-celos-en-independencia/2016-01-02/135925.html ',' CG2016ch1 '); </v>
      </c>
    </row>
    <row r="228" spans="1:3" ht="15.75" thickBot="1">
      <c r="A228" s="21" t="s">
        <v>899</v>
      </c>
      <c r="B228" s="3" t="s">
        <v>209</v>
      </c>
      <c r="C228" t="str">
        <f t="shared" si="3"/>
        <v xml:space="preserve">INSERT INTO url(direccion,idFemicidio) VALUES (' http://www.emol.com/noticias/Nacional/2016/01/02/766464/PDI-investiga-nuevo-femicidio-en-la-comuna-de-Recoleta.html ',' CG2016ch1 '); </v>
      </c>
    </row>
    <row r="229" spans="1:3" ht="15.75" thickBot="1">
      <c r="A229" s="21" t="s">
        <v>900</v>
      </c>
      <c r="B229" s="3" t="s">
        <v>210</v>
      </c>
      <c r="C229" t="str">
        <f t="shared" si="3"/>
        <v xml:space="preserve">INSERT INTO url(direccion,idFemicidio) VALUES (' http://femicidioschile.blogspot.com/2016/03/femicidio-n-2.html ',' MC2016ch2 '); </v>
      </c>
    </row>
    <row r="230" spans="1:3" ht="15.75" thickBot="1">
      <c r="A230" s="21" t="s">
        <v>900</v>
      </c>
      <c r="B230" s="3" t="s">
        <v>211</v>
      </c>
      <c r="C230" t="str">
        <f t="shared" si="3"/>
        <v xml:space="preserve">INSERT INTO url(direccion,idFemicidio) VALUES (' https://www.facebook.com/permalink.php?story_fbid=10153574810408192&amp;id=140943048191 ',' MC2016ch2 '); </v>
      </c>
    </row>
    <row r="231" spans="1:3" ht="15.75" thickBot="1">
      <c r="A231" s="21" t="s">
        <v>900</v>
      </c>
      <c r="B231" s="3" t="s">
        <v>212</v>
      </c>
      <c r="C231" t="str">
        <f t="shared" si="3"/>
        <v xml:space="preserve">INSERT INTO url(direccion,idFemicidio) VALUES (' https://www.araucaniacuenta.cl/tag/magdalena-del-rosario-carrillo-levipan/ ',' MC2016ch2 '); </v>
      </c>
    </row>
    <row r="232" spans="1:3" ht="15.75" thickBot="1">
      <c r="A232" s="21" t="s">
        <v>900</v>
      </c>
      <c r="B232" s="3" t="s">
        <v>213</v>
      </c>
      <c r="C232" t="str">
        <f t="shared" si="3"/>
        <v xml:space="preserve">INSERT INTO url(direccion,idFemicidio) VALUES (' http://www.elciudadano.cl/justicia/femicidio-condenan-a-20-anos-de-presidio-efectivo-a-hombre-que-mato-a-su-conviviente/04/07/ ',' MC2016ch2 '); </v>
      </c>
    </row>
    <row r="233" spans="1:3" ht="15.75" thickBot="1">
      <c r="A233" s="21" t="s">
        <v>900</v>
      </c>
      <c r="B233" s="3" t="s">
        <v>214</v>
      </c>
      <c r="C233" t="str">
        <f t="shared" si="3"/>
        <v xml:space="preserve">INSERT INTO url(direccion,idFemicidio) VALUES (' http://www.theclinic.cl/2016/03/06/sexto-femicidio-del-ano-hombre-asesino-a-su-esposa-a-golpes-y-luego-se-suicido-en-maipu/ ',' MC2016ch2 '); </v>
      </c>
    </row>
    <row r="234" spans="1:3" ht="15.75" thickBot="1">
      <c r="A234" s="21" t="s">
        <v>900</v>
      </c>
      <c r="B234" s="3" t="s">
        <v>215</v>
      </c>
      <c r="C234" t="str">
        <f t="shared" si="3"/>
        <v xml:space="preserve">INSERT INTO url(direccion,idFemicidio) VALUES (' http://portal.sernam.cl/img/upoloads/FEMICIDIOS%202016%20al%2010%20de%20enero.pdf ',' MC2016ch2 '); </v>
      </c>
    </row>
    <row r="235" spans="1:3" ht="15.75" thickBot="1">
      <c r="A235" s="21" t="s">
        <v>900</v>
      </c>
      <c r="B235" s="3" t="s">
        <v>216</v>
      </c>
      <c r="C235" t="str">
        <f t="shared" si="3"/>
        <v xml:space="preserve">INSERT INTO url(direccion,idFemicidio) VALUES (' http://www.biobiochile.cl/noticias/nacional/region-de-la-araucania/2017/03/31/hombre-es-condenado-por-matar-a-su-pareja-con-un-cuchillo-en-la-localidad-de-queule.shtml ',' MC2016ch2 '); </v>
      </c>
    </row>
    <row r="236" spans="1:3" ht="15.75" thickBot="1">
      <c r="A236" s="21" t="s">
        <v>901</v>
      </c>
      <c r="B236" s="3" t="s">
        <v>217</v>
      </c>
      <c r="C236" t="str">
        <f t="shared" si="3"/>
        <v xml:space="preserve">INSERT INTO url(direccion,idFemicidio) VALUES (' http://www.abc.com.py/internacionales/hombre-mata-a-su-mujer-con-bate-de-beisbol-en-chile-1459352.html ',' EE2016ch3 '); </v>
      </c>
    </row>
    <row r="237" spans="1:3" ht="15.75" thickBot="1">
      <c r="A237" s="21" t="s">
        <v>901</v>
      </c>
      <c r="B237" s="3" t="s">
        <v>218</v>
      </c>
      <c r="C237" t="str">
        <f t="shared" si="3"/>
        <v xml:space="preserve">INSERT INTO url(direccion,idFemicidio) VALUES (' http://www.eldinamo.cl/nacional/2016/02/25/femicidio-lago-ranco-valdivia/ ',' EE2016ch3 '); </v>
      </c>
    </row>
    <row r="238" spans="1:3" ht="15.75" thickBot="1">
      <c r="A238" s="21" t="s">
        <v>901</v>
      </c>
      <c r="B238" s="3" t="s">
        <v>219</v>
      </c>
      <c r="C238" t="str">
        <f t="shared" si="3"/>
        <v xml:space="preserve">INSERT INTO url(direccion,idFemicidio) VALUES (' http://www.mqltv.com/eldiariodecopano-nabila-rifo-y-femicidios-en-chile/ ',' EE2016ch3 '); </v>
      </c>
    </row>
    <row r="239" spans="1:3" ht="15.75" thickBot="1">
      <c r="A239" s="21" t="s">
        <v>901</v>
      </c>
      <c r="B239" s="3" t="s">
        <v>220</v>
      </c>
      <c r="C239" t="str">
        <f t="shared" si="3"/>
        <v xml:space="preserve">INSERT INTO url(direccion,idFemicidio) VALUES (' http://www.quieroelegir.cl/la-cruda-historia-del-ultimo-femicidio-en-chile/ ',' EE2016ch3 '); </v>
      </c>
    </row>
    <row r="240" spans="1:3" ht="15.75" thickBot="1">
      <c r="A240" s="21" t="s">
        <v>902</v>
      </c>
      <c r="B240" s="3" t="s">
        <v>221</v>
      </c>
      <c r="C240" t="str">
        <f t="shared" si="3"/>
        <v xml:space="preserve">INSERT INTO url(direccion,idFemicidio) VALUES (' https://desdelatorre5.wordpress.com/2016/03/11/mujeres-en-chile-el-amor-las-asesina-y-el-orden-las-golpea/ ',' CB2016ch4 '); </v>
      </c>
    </row>
    <row r="241" spans="1:3" ht="15.75" thickBot="1">
      <c r="A241" s="21" t="s">
        <v>902</v>
      </c>
      <c r="B241" s="3" t="s">
        <v>222</v>
      </c>
      <c r="C241" t="str">
        <f t="shared" si="3"/>
        <v xml:space="preserve">INSERT INTO url(direccion,idFemicidio) VALUES (' https://portal.sernam.cl/img/upoloads/FEMICIDIOS%202016%20al%207_02(1).pdf ',' CB2016ch4 '); </v>
      </c>
    </row>
    <row r="242" spans="1:3" ht="15.75" thickBot="1">
      <c r="A242" s="21" t="s">
        <v>902</v>
      </c>
      <c r="B242" s="3" t="s">
        <v>223</v>
      </c>
      <c r="C242" t="str">
        <f t="shared" si="3"/>
        <v xml:space="preserve">INSERT INTO url(direccion,idFemicidio) VALUES (' https://prensa.presidencia.cl/lfi-content/uploads/2016/03/mar082016brm-ceremonia-dia-de-la-mujer-final.pdf ',' CB2016ch4 '); </v>
      </c>
    </row>
    <row r="243" spans="1:3" ht="15.75" thickBot="1">
      <c r="A243" s="21" t="s">
        <v>902</v>
      </c>
      <c r="B243" s="3" t="s">
        <v>224</v>
      </c>
      <c r="C243" t="str">
        <f t="shared" si="3"/>
        <v xml:space="preserve">INSERT INTO url(direccion,idFemicidio) VALUES (' http://www.biobiochile.cl/noticias/2016/02/28/ppd-despide-en-lago-ranco-a-militantes-involucrados-en-presunto-femicidio.shtml ',' CB2016ch4 '); </v>
      </c>
    </row>
    <row r="244" spans="1:3" ht="15.75" thickBot="1">
      <c r="A244" s="21" t="s">
        <v>902</v>
      </c>
      <c r="B244" s="3" t="s">
        <v>225</v>
      </c>
      <c r="C244" t="str">
        <f t="shared" si="3"/>
        <v xml:space="preserve">INSERT INTO url(direccion,idFemicidio) VALUES (' https://www.debate.com.mx/mundo/Hombre-mata-a-su-mujer-con-bate-de-beisbol-20160306-0037.html ',' CB2016ch4 '); </v>
      </c>
    </row>
    <row r="245" spans="1:3" ht="15.75" thickBot="1">
      <c r="A245" s="21" t="s">
        <v>903</v>
      </c>
      <c r="B245" s="3" t="s">
        <v>226</v>
      </c>
      <c r="C245" t="str">
        <f t="shared" si="3"/>
        <v xml:space="preserve">INSERT INTO url(direccion,idFemicidio) VALUES (' http://www.soychile.cl/Antofagasta/Policial/2016/03/03/378759/Una-mujer-de-31-anos-es-la-victima-del-primer-femicidio-de-2016-en-Antofagasta.aspx ',' KW2016ch5 '); </v>
      </c>
    </row>
    <row r="246" spans="1:3" ht="15.75" thickBot="1">
      <c r="A246" s="21" t="s">
        <v>903</v>
      </c>
      <c r="B246" s="3" t="s">
        <v>227</v>
      </c>
      <c r="C246" t="str">
        <f t="shared" si="3"/>
        <v xml:space="preserve">INSERT INTO url(direccion,idFemicidio) VALUES (' http://www.elciudadano.cl/chile/karen-andrea-wilson-villagran-cuarto-femicidio-del-ano-2016-se-viene-negro/03/03/ ',' KW2016ch5 '); </v>
      </c>
    </row>
    <row r="247" spans="1:3" ht="15.75" thickBot="1">
      <c r="A247" s="21" t="s">
        <v>903</v>
      </c>
      <c r="B247" s="3" t="s">
        <v>228</v>
      </c>
      <c r="C247" t="str">
        <f t="shared" si="3"/>
        <v xml:space="preserve">INSERT INTO url(direccion,idFemicidio) VALUES (' http://www.diarioantofagasta.cl/regional/antofagasta/61706/asesino-de-profesora-antofagastina-quedo-en-prision-preventiva/ ',' KW2016ch5 '); </v>
      </c>
    </row>
    <row r="248" spans="1:3" ht="15.75" thickBot="1">
      <c r="A248" s="21" t="s">
        <v>903</v>
      </c>
      <c r="B248" s="3" t="s">
        <v>229</v>
      </c>
      <c r="C248" t="str">
        <f t="shared" si="3"/>
        <v xml:space="preserve">INSERT INTO url(direccion,idFemicidio) VALUES (' https://www.laizquierdadiario.cl/Brutal-femicidio-de-profesora-en-Antofagasta ',' KW2016ch5 '); </v>
      </c>
    </row>
    <row r="249" spans="1:3" ht="15.75" thickBot="1">
      <c r="A249" s="21" t="s">
        <v>903</v>
      </c>
      <c r="B249" s="3" t="s">
        <v>230</v>
      </c>
      <c r="C249" t="str">
        <f t="shared" si="3"/>
        <v xml:space="preserve">INSERT INTO url(direccion,idFemicidio) VALUES (' http://www.chvnoticias.cl/policial/mato-a-su-esposa-y-paseo-su-cuerpo-en-el-asiento-de-copiloto/2016-03-03/212315.html ',' KW2016ch5 '); </v>
      </c>
    </row>
    <row r="250" spans="1:3" ht="15.75" thickBot="1">
      <c r="A250" s="21" t="s">
        <v>903</v>
      </c>
      <c r="B250" s="3" t="s">
        <v>231</v>
      </c>
      <c r="C250" t="str">
        <f t="shared" si="3"/>
        <v xml:space="preserve">INSERT INTO url(direccion,idFemicidio) VALUES (' http://www.24horas.cl/nacional/mujer-de-antofagasta-es-la-cuarta-victima-de-femicidio-en-el-ano-1949649 ',' KW2016ch5 '); </v>
      </c>
    </row>
    <row r="251" spans="1:3" ht="15.75" thickBot="1">
      <c r="A251" s="21" t="s">
        <v>903</v>
      </c>
      <c r="B251" s="3" t="s">
        <v>232</v>
      </c>
      <c r="C251" t="str">
        <f t="shared" si="3"/>
        <v xml:space="preserve">INSERT INTO url(direccion,idFemicidio) VALUES (' https://m.facebook.com/groups/957720797599017/?ref=group_header&amp;view=group ',' KW2016ch5 '); </v>
      </c>
    </row>
    <row r="252" spans="1:3" ht="15.75" thickBot="1">
      <c r="A252" s="21" t="s">
        <v>904</v>
      </c>
      <c r="B252" s="3" t="s">
        <v>233</v>
      </c>
      <c r="C252" t="str">
        <f t="shared" si="3"/>
        <v xml:space="preserve">INSERT INTO url(direccion,idFemicidio) VALUES (' http://www.eltiempo.com/archivo/documento/CMS-16532087 ',' Y 2016ch6 '); </v>
      </c>
    </row>
    <row r="253" spans="1:3" ht="15.75" thickBot="1">
      <c r="A253" s="21" t="s">
        <v>904</v>
      </c>
      <c r="B253" s="3" t="s">
        <v>234</v>
      </c>
      <c r="C253" t="str">
        <f t="shared" si="3"/>
        <v xml:space="preserve">INSERT INTO url(direccion,idFemicidio) VALUES (' http://www.biobiochile.cl/noticias/2016/03/09/la-historia-del-descuartizamiento-de-joven-colombiana-y-como-la-pdi-descubrio-al-culpable.shtml ',' Y 2016ch6 '); </v>
      </c>
    </row>
    <row r="254" spans="1:3" ht="15.75" thickBot="1">
      <c r="A254" s="21" t="s">
        <v>904</v>
      </c>
      <c r="B254" s="3" t="s">
        <v>235</v>
      </c>
      <c r="C254" t="str">
        <f t="shared" si="3"/>
        <v xml:space="preserve">INSERT INTO url(direccion,idFemicidio) VALUES (' http://www.biobiochile.cl/noticias/nacional/region-metropolitana/2017/07/19/declaran-culpable-a-hombre-que-mato-y-descuartizo-a-su-pareja-colombiana-en-santiago.shtml ',' Y 2016ch6 '); </v>
      </c>
    </row>
    <row r="255" spans="1:3" ht="15.75" thickBot="1">
      <c r="A255" s="21" t="s">
        <v>904</v>
      </c>
      <c r="B255" s="3" t="s">
        <v>236</v>
      </c>
      <c r="C255" t="str">
        <f t="shared" si="3"/>
        <v xml:space="preserve">INSERT INTO url(direccion,idFemicidio) VALUES (' http://www.semana.com/nacion/articulo/joven-colombiana-fue-descuartizada-en-chile/464651 ',' Y 2016ch6 '); </v>
      </c>
    </row>
    <row r="256" spans="1:3" ht="15.75" thickBot="1">
      <c r="A256" s="21" t="s">
        <v>904</v>
      </c>
      <c r="B256" s="3" t="s">
        <v>237</v>
      </c>
      <c r="C256" t="str">
        <f t="shared" si="3"/>
        <v xml:space="preserve">INSERT INTO url(direccion,idFemicidio) VALUES (' http://www.elpais.com.co/judicial/14-anos-de-carcel-para-joven-que-asesino-a-vallecaucana-en-santiago-de-chile.html ',' Y 2016ch6 '); </v>
      </c>
    </row>
    <row r="257" spans="1:3" ht="15.75" thickBot="1">
      <c r="A257" s="21" t="s">
        <v>904</v>
      </c>
      <c r="B257" s="3" t="s">
        <v>238</v>
      </c>
      <c r="C257" t="str">
        <f t="shared" si="3"/>
        <v xml:space="preserve">INSERT INTO url(direccion,idFemicidio) VALUES (' http://www.elpais.com.co/judicial/declaran-culpable-a-colombiano-que-asesino-y-descuartizo-a-su-novia-en-chile.html ',' Y 2016ch6 '); </v>
      </c>
    </row>
    <row r="258" spans="1:3" ht="15.75" thickBot="1">
      <c r="A258" s="21" t="s">
        <v>904</v>
      </c>
      <c r="B258" s="3" t="s">
        <v>239</v>
      </c>
      <c r="C258" t="str">
        <f t="shared" si="3"/>
        <v xml:space="preserve">INSERT INTO url(direccion,idFemicidio) VALUES (' http://www.24horas.cl/nacional/la-historia-de-la-joven-descuartizada-y-arrojada-al-mapocho-1956057 ',' Y 2016ch6 '); </v>
      </c>
    </row>
    <row r="259" spans="1:3" ht="15.75" thickBot="1">
      <c r="A259" s="21" t="s">
        <v>905</v>
      </c>
      <c r="B259" s="3" t="s">
        <v>240</v>
      </c>
      <c r="C259" t="str">
        <f t="shared" ref="C259:C322" si="4">"INSERT INTO url(direccion,idFemicidio) VALUES (' "&amp;B259&amp;" ',' "&amp;A259&amp;" '); "</f>
        <v xml:space="preserve">INSERT INTO url(direccion,idFemicidio) VALUES (' http://www.24horas.cl/nacional/mujer-de-maipu-es-la-quinta-victima-de-femicidio-del-2016-1952357 ',' SS2016ch7 '); </v>
      </c>
    </row>
    <row r="260" spans="1:3" ht="15.75" thickBot="1">
      <c r="A260" s="21" t="s">
        <v>905</v>
      </c>
      <c r="B260" s="3" t="s">
        <v>241</v>
      </c>
      <c r="C260" t="str">
        <f t="shared" si="4"/>
        <v xml:space="preserve">INSERT INTO url(direccion,idFemicidio) VALUES (' http://www.emol.com/noticias/Nacional/2016/03/06/791594/El-quinto-femicidio-del-ano-Mato-a-su-pareja-y-luego-se-quito-la-vida.html ',' SS2016ch7 '); </v>
      </c>
    </row>
    <row r="261" spans="1:3" ht="15.75" thickBot="1">
      <c r="A261" s="21" t="s">
        <v>905</v>
      </c>
      <c r="B261" s="3" t="s">
        <v>242</v>
      </c>
      <c r="C261" t="str">
        <f t="shared" si="4"/>
        <v xml:space="preserve">INSERT INTO url(direccion,idFemicidio) VALUES (' http://www.chvnoticias.cl/ultima-mirada/femicidio-y-suicidio-quedo-descubierto-en-maipu/2016-03-06/010443.html ',' SS2016ch7 '); </v>
      </c>
    </row>
    <row r="262" spans="1:3" ht="15.75" thickBot="1">
      <c r="A262" s="21" t="s">
        <v>905</v>
      </c>
      <c r="B262" s="3" t="s">
        <v>243</v>
      </c>
      <c r="C262" t="str">
        <f t="shared" si="4"/>
        <v xml:space="preserve">INSERT INTO url(direccion,idFemicidio) VALUES (' http://www.cooperativa.cl/noticias/pais/policial/femicidio/hombre-asesino-a-su-pareja-con-un-bate-de-beisbol-en-maipu/2016-03-05/223257.html ',' SS2016ch7 '); </v>
      </c>
    </row>
    <row r="263" spans="1:3" ht="15.75" thickBot="1">
      <c r="A263" s="21" t="s">
        <v>905</v>
      </c>
      <c r="B263" s="3" t="s">
        <v>244</v>
      </c>
      <c r="C263" t="str">
        <f t="shared" si="4"/>
        <v xml:space="preserve">INSERT INTO url(direccion,idFemicidio) VALUES (' https://www.diariolasamericas.com/america-latina/hombre-mata-su-mujer-bate-beisbol-6-feminicidio-2016-chile-n3669378 ',' SS2016ch7 '); </v>
      </c>
    </row>
    <row r="264" spans="1:3" ht="15.75" thickBot="1">
      <c r="A264" s="21" t="s">
        <v>905</v>
      </c>
      <c r="B264" s="3" t="s">
        <v>245</v>
      </c>
      <c r="C264" t="str">
        <f t="shared" si="4"/>
        <v xml:space="preserve">INSERT INTO url(direccion,idFemicidio) VALUES (' https://www.elnuevodia.com/noticias/mundo/nota/hombremataasuparejaabatazosenchile-2170719/ ',' SS2016ch7 '); </v>
      </c>
    </row>
    <row r="265" spans="1:3" ht="15.75" thickBot="1">
      <c r="A265" s="21" t="s">
        <v>905</v>
      </c>
      <c r="B265" s="3" t="s">
        <v>246</v>
      </c>
      <c r="C265" t="str">
        <f t="shared" si="4"/>
        <v xml:space="preserve">INSERT INTO url(direccion,idFemicidio) VALUES (' http://rpp.pe/mundo/chile/chile-hombre-mata-a-su-pareja-con-un-bate-de-beisbol-noticia-943739 ',' SS2016ch7 '); </v>
      </c>
    </row>
    <row r="266" spans="1:3" ht="15.75" thickBot="1">
      <c r="A266" s="21" t="s">
        <v>906</v>
      </c>
      <c r="B266" s="3" t="s">
        <v>247</v>
      </c>
      <c r="C266" t="str">
        <f t="shared" si="4"/>
        <v xml:space="preserve">INSERT INTO url(direccion,idFemicidio) VALUES (' http://www.minmujeryeg.cl/prensa/noticias-prensa/noticias-regionales/imputado-femicidio-magaly-carriel-volvera-prision-tras-apelacion-suspension-procedimiento/ ',' MC2016ch8 '); </v>
      </c>
    </row>
    <row r="267" spans="1:3" ht="15.75" thickBot="1">
      <c r="A267" s="21" t="s">
        <v>906</v>
      </c>
      <c r="B267" s="3" t="s">
        <v>248</v>
      </c>
      <c r="C267" t="str">
        <f t="shared" si="4"/>
        <v xml:space="preserve">INSERT INTO url(direccion,idFemicidio) VALUES (' http://www.elciudadano.cl/chile/imputado-por-femicidio-de-magaly-carriel-volvera-a-prision-tras-apelacion-a-suspension-de-procedimiento/10/13/ ',' MC2016ch8 '); </v>
      </c>
    </row>
    <row r="268" spans="1:3" ht="15.75" thickBot="1">
      <c r="A268" s="21" t="s">
        <v>906</v>
      </c>
      <c r="B268" s="3" t="s">
        <v>249</v>
      </c>
      <c r="C268" t="str">
        <f t="shared" si="4"/>
        <v xml:space="preserve">INSERT INTO url(direccion,idFemicidio) VALUES (' http://www.elciudadano.cl/chile/sernameg-y-familiares-presentaron-apelacion-a-dictamen-que-mantiene-a-imputado-por-femicidio-en-libertad2016/10/11/ ',' MC2016ch8 '); </v>
      </c>
    </row>
    <row r="269" spans="1:3" ht="15.75" thickBot="1">
      <c r="A269" s="21" t="s">
        <v>906</v>
      </c>
      <c r="B269" s="3" t="s">
        <v>250</v>
      </c>
      <c r="C269" t="str">
        <f t="shared" si="4"/>
        <v xml:space="preserve">INSERT INTO url(direccion,idFemicidio) VALUES (' https://www.diarioconcepcion.cl/ciudad/2016/10/13/corte-ordena-prision-preventiva-para-imputado-de-primer-femicidio-del-ano.html ',' MC2016ch8 '); </v>
      </c>
    </row>
    <row r="270" spans="1:3" ht="15.75" thickBot="1">
      <c r="A270" s="21" t="s">
        <v>906</v>
      </c>
      <c r="B270" s="3" t="s">
        <v>251</v>
      </c>
      <c r="C270" t="str">
        <f t="shared" si="4"/>
        <v xml:space="preserve">INSERT INTO url(direccion,idFemicidio) VALUES (' http://www.cooperativa.cl/noticias/pais/policial/femicidio/en-talcahuano-ocurrio-el-septimo-femicidio-del-ano/2016-03-07/201131.html ',' MC2016ch8 '); </v>
      </c>
    </row>
    <row r="271" spans="1:3" ht="15.75" thickBot="1">
      <c r="A271" s="21" t="s">
        <v>906</v>
      </c>
      <c r="B271" s="3" t="s">
        <v>252</v>
      </c>
      <c r="C271" t="str">
        <f t="shared" si="4"/>
        <v xml:space="preserve">INSERT INTO url(direccion,idFemicidio) VALUES (' http://www.eldinamo.cl/nacional/2016/03/08/femicidio-chile-septimo-femicidio/ ',' MC2016ch8 '); </v>
      </c>
    </row>
    <row r="272" spans="1:3" ht="15.75" thickBot="1">
      <c r="A272" s="21" t="s">
        <v>906</v>
      </c>
      <c r="B272" s="3" t="s">
        <v>253</v>
      </c>
      <c r="C272" t="str">
        <f t="shared" si="4"/>
        <v xml:space="preserve">INSERT INTO url(direccion,idFemicidio) VALUES (' https://www.publimetro.cl/cl/nacional/2016/03/08/victima-postrada-detienen-hombre-que-mato-pareja-talcahuano.html ',' MC2016ch8 '); </v>
      </c>
    </row>
    <row r="273" spans="1:3" ht="15.75" thickBot="1">
      <c r="A273" s="21" t="s">
        <v>907</v>
      </c>
      <c r="B273" s="3" t="s">
        <v>254</v>
      </c>
      <c r="C273" t="str">
        <f t="shared" si="4"/>
        <v xml:space="preserve">INSERT INTO url(direccion,idFemicidio) VALUES (' http://www.24horas.cl/nacional/mujer-muere-apunalada-en-el-cuello-por-su-conviviente-en-paredones-1954890 ',' AG2016ch9 '); </v>
      </c>
    </row>
    <row r="274" spans="1:3" ht="15.75" thickBot="1">
      <c r="A274" s="21" t="s">
        <v>907</v>
      </c>
      <c r="B274" s="3" t="s">
        <v>255</v>
      </c>
      <c r="C274" t="str">
        <f t="shared" si="4"/>
        <v xml:space="preserve">INSERT INTO url(direccion,idFemicidio) VALUES (' http://www.emol.com/noticias/Nacional/2016/03/08/792030/Dos-femicidios-mancharon-la-celebracion-del-Dia-Internacional-de-la-Mujer-en-el-pais.html ',' AG2016ch9 '); </v>
      </c>
    </row>
    <row r="275" spans="1:3" ht="15.75" thickBot="1">
      <c r="A275" s="21" t="s">
        <v>907</v>
      </c>
      <c r="B275" s="3" t="s">
        <v>256</v>
      </c>
      <c r="C275" t="str">
        <f t="shared" si="4"/>
        <v xml:space="preserve">INSERT INTO url(direccion,idFemicidio) VALUES (' http://www.chvnoticias.cl/nacional/mujer-asesinada-por-pareja-lo-habia-denunciado-en-la-manana/2016-03-09/140111.html ',' AG2016ch9 '); </v>
      </c>
    </row>
    <row r="276" spans="1:3" ht="15.75" thickBot="1">
      <c r="A276" s="21" t="s">
        <v>907</v>
      </c>
      <c r="B276" s="3" t="s">
        <v>257</v>
      </c>
      <c r="C276" t="str">
        <f t="shared" si="4"/>
        <v xml:space="preserve">INSERT INTO url(direccion,idFemicidio) VALUES (' http://www.biobiochile.cl/noticias/2016/03/12/en-prision-preventiva-queda-presunto-autor-de-femicidio-en-paredones.shtml ',' AG2016ch9 '); </v>
      </c>
    </row>
    <row r="277" spans="1:3" ht="15.75" thickBot="1">
      <c r="A277" s="21" t="s">
        <v>907</v>
      </c>
      <c r="B277" s="3" t="s">
        <v>257</v>
      </c>
      <c r="C277" t="str">
        <f t="shared" si="4"/>
        <v xml:space="preserve">INSERT INTO url(direccion,idFemicidio) VALUES (' http://www.biobiochile.cl/noticias/2016/03/12/en-prision-preventiva-queda-presunto-autor-de-femicidio-en-paredones.shtml ',' AG2016ch9 '); </v>
      </c>
    </row>
    <row r="278" spans="1:3" ht="15.75" thickBot="1">
      <c r="A278" s="21" t="s">
        <v>907</v>
      </c>
      <c r="B278" s="3" t="s">
        <v>258</v>
      </c>
      <c r="C278" t="str">
        <f t="shared" si="4"/>
        <v xml:space="preserve">INSERT INTO url(direccion,idFemicidio) VALUES (' http://eltipografo.cl/2016/03/mujer-de-paredones-se-convirtio-esta-tarde-en-la-octava-victima-de-femicidio-en-el-ano-en-el-pais/ ',' AG2016ch9 '); </v>
      </c>
    </row>
    <row r="279" spans="1:3" ht="15.75" thickBot="1">
      <c r="A279" s="21" t="s">
        <v>907</v>
      </c>
      <c r="B279" s="3" t="s">
        <v>259</v>
      </c>
      <c r="C279" t="str">
        <f t="shared" si="4"/>
        <v xml:space="preserve">INSERT INTO url(direccion,idFemicidio) VALUES (' http://eltipografo.cl/2016/03/decretan-prision-preventiva-para-imputado-por-femicidio-en-paredones/ ',' AG2016ch9 '); </v>
      </c>
    </row>
    <row r="280" spans="1:3" ht="15.75" thickBot="1">
      <c r="A280" s="21" t="s">
        <v>908</v>
      </c>
      <c r="B280" s="3" t="s">
        <v>260</v>
      </c>
      <c r="C280" t="str">
        <f t="shared" si="4"/>
        <v xml:space="preserve">INSERT INTO url(direccion,idFemicidio) VALUES (' http://www.cooperativa.cl/noticias/pais/policial/femicidio/dos-nuevos-femicidios-enlutan-la-celebracion-del-dia-de-la-mujer/2016-03-08/213535.html ',' NL2016ch10 '); </v>
      </c>
    </row>
    <row r="281" spans="1:3" ht="15.75" thickBot="1">
      <c r="A281" s="21" t="s">
        <v>908</v>
      </c>
      <c r="B281" s="3" t="s">
        <v>261</v>
      </c>
      <c r="C281" t="str">
        <f t="shared" si="4"/>
        <v xml:space="preserve">INSERT INTO url(direccion,idFemicidio) VALUES (' http://tiempo21araucania.cl/femicidio-y-posterior-suicidio-en-consultorio-remece-a-renaico/ ',' NL2016ch10 '); </v>
      </c>
    </row>
    <row r="282" spans="1:3" ht="15.75" thickBot="1">
      <c r="A282" s="21" t="s">
        <v>908</v>
      </c>
      <c r="B282" s="3" t="s">
        <v>262</v>
      </c>
      <c r="C282" t="str">
        <f t="shared" si="4"/>
        <v xml:space="preserve">INSERT INTO url(direccion,idFemicidio) VALUES (' http://www.collipullense.cl/?p=3481 ',' NL2016ch10 '); </v>
      </c>
    </row>
    <row r="283" spans="1:3" ht="15.75" thickBot="1">
      <c r="A283" s="21" t="s">
        <v>908</v>
      </c>
      <c r="B283" s="3" t="s">
        <v>263</v>
      </c>
      <c r="C283" t="str">
        <f t="shared" si="4"/>
        <v xml:space="preserve">INSERT INTO url(direccion,idFemicidio) VALUES (' https://www.youtube.com/watch?v=q9YO_asKkqw ',' NL2016ch10 '); </v>
      </c>
    </row>
    <row r="284" spans="1:3" ht="15.75" thickBot="1">
      <c r="A284" s="21" t="s">
        <v>908</v>
      </c>
      <c r="B284" s="3" t="s">
        <v>264</v>
      </c>
      <c r="C284" t="str">
        <f t="shared" si="4"/>
        <v xml:space="preserve">INSERT INTO url(direccion,idFemicidio) VALUES (' https://maray.cl/?p=35046 ',' NL2016ch10 '); </v>
      </c>
    </row>
    <row r="285" spans="1:3" ht="15.75" thickBot="1">
      <c r="A285" s="21" t="s">
        <v>908</v>
      </c>
      <c r="B285" s="3" t="s">
        <v>265</v>
      </c>
      <c r="C285" t="str">
        <f t="shared" si="4"/>
        <v xml:space="preserve">INSERT INTO url(direccion,idFemicidio) VALUES (' http://www.lanueva.com/nota/2016-3-9-8-39-0-chile-2-hombres-mataron-a-sus-parejas-en-el-dia-de-la-mujer ',' NL2016ch10 '); </v>
      </c>
    </row>
    <row r="286" spans="1:3" ht="15.75" thickBot="1">
      <c r="A286" s="21" t="s">
        <v>908</v>
      </c>
      <c r="B286" s="3" t="s">
        <v>266</v>
      </c>
      <c r="C286" t="str">
        <f t="shared" si="4"/>
        <v xml:space="preserve">INSERT INTO url(direccion,idFemicidio) VALUES (' http://www.biobiochile.cl/noticias/2016/03/09/sename-ayudara-a-nino-que-presencio-femicidio-en-renaico.shtml ',' NL2016ch10 '); </v>
      </c>
    </row>
    <row r="287" spans="1:3" ht="30.75" thickBot="1">
      <c r="A287" s="21" t="s">
        <v>909</v>
      </c>
      <c r="B287" s="3" t="s">
        <v>267</v>
      </c>
      <c r="C287" t="str">
        <f t="shared" si="4"/>
        <v xml:space="preserve">INSERT INTO url(direccion,idFemicidio) VALUES (' http://www.elandino.cl/2016/03/10/dramatico-femicidio-y-suicidio-en-predio-agricola-de-rinconada-cuidador-mato-a-su-esposa-y-posteriormente-se-quito-la-vida-con-la-misma-arma-de-fuego-una-escopeta-calibre-12/ ',' NA2016ch13 '); </v>
      </c>
    </row>
    <row r="288" spans="1:3" ht="30.75" thickBot="1">
      <c r="A288" s="21" t="s">
        <v>909</v>
      </c>
      <c r="B288" s="3" t="s">
        <v>268</v>
      </c>
      <c r="C288" t="str">
        <f t="shared" si="4"/>
        <v xml:space="preserve">INSERT INTO url(direccion,idFemicidio) VALUES (' http://soyaconcagua.cl/2016/03/11/femicidio-en-rinconada-eleva-a-11-el-numero-de-victimas-en-lo-que-va-del-ano-en-el-pais/ ',' NA2016ch13 '); </v>
      </c>
    </row>
    <row r="289" spans="1:3" ht="30.75" thickBot="1">
      <c r="A289" s="21" t="s">
        <v>909</v>
      </c>
      <c r="B289" s="3" t="s">
        <v>269</v>
      </c>
      <c r="C289" t="str">
        <f t="shared" si="4"/>
        <v xml:space="preserve">INSERT INTO url(direccion,idFemicidio) VALUES (' http://www.observador.cl/6609-femicidio_en_rinconada_de_los_andes_le_dispar_en_la_cara_a_su_mujer_y_se_suicid ',' NA2016ch13 '); </v>
      </c>
    </row>
    <row r="290" spans="1:3" ht="15.75" thickBot="1">
      <c r="A290" s="21" t="s">
        <v>910</v>
      </c>
      <c r="B290" s="3" t="s">
        <v>270</v>
      </c>
      <c r="C290" t="str">
        <f t="shared" si="4"/>
        <v xml:space="preserve">INSERT INTO url(direccion,idFemicidio) VALUES (' http://www.cooperativa.cl/noticias/pais/policial/femicidio/prision-preventiva-para-acusado-de-matar-a-su-pareja-a-martillazos-en/2016-03-29/163223.html ',' YA2016ch14 '); </v>
      </c>
    </row>
    <row r="291" spans="1:3" ht="15.75" thickBot="1">
      <c r="A291" s="21" t="s">
        <v>910</v>
      </c>
      <c r="B291" s="3" t="s">
        <v>271</v>
      </c>
      <c r="C291" t="str">
        <f t="shared" si="4"/>
        <v xml:space="preserve">INSERT INTO url(direccion,idFemicidio) VALUES (' http://www.24horas.cl/nacional/impacto-por-femicidio-en-quillon-matan-a-mujer-a-martillazos-1970535 ',' YA2016ch14 '); </v>
      </c>
    </row>
    <row r="292" spans="1:3" ht="15.75" thickBot="1">
      <c r="A292" s="21" t="s">
        <v>910</v>
      </c>
      <c r="B292" s="3" t="s">
        <v>272</v>
      </c>
      <c r="C292" t="str">
        <f t="shared" si="4"/>
        <v xml:space="preserve">INSERT INTO url(direccion,idFemicidio) VALUES (' http://www.soychile.cl/Chillan/Policial/2017/06/02/467735/Declaran-culpable-a-imputado-por-femicidio-de-vendedora-ambulante-en-Quillon.aspx ',' YA2016ch14 '); </v>
      </c>
    </row>
    <row r="293" spans="1:3" ht="15.75" thickBot="1">
      <c r="A293" s="21" t="s">
        <v>910</v>
      </c>
      <c r="B293" s="3" t="s">
        <v>273</v>
      </c>
      <c r="C293" t="str">
        <f t="shared" si="4"/>
        <v xml:space="preserve">INSERT INTO url(direccion,idFemicidio) VALUES (' http://www.biobiochile.cl/noticias/nacional/region-del-bio-bio/2017/06/07/condenan-a-15-anos-de-carcel-a-hombre-que-asesino-a-su-pareja-con-martillo-en-quillon.shtml ',' YA2016ch14 '); </v>
      </c>
    </row>
    <row r="294" spans="1:3" ht="15.75" thickBot="1">
      <c r="A294" s="21" t="s">
        <v>910</v>
      </c>
      <c r="B294" s="3" t="s">
        <v>274</v>
      </c>
      <c r="C294" t="str">
        <f t="shared" si="4"/>
        <v xml:space="preserve">INSERT INTO url(direccion,idFemicidio) VALUES (' http://www.biobiochile.cl/noticias/2016/03/26/nuevo-femicidio-en-quillon-hombre-mato-a-su-pareja-con-un-martillo.shtml ',' YA2016ch14 '); </v>
      </c>
    </row>
    <row r="295" spans="1:3" ht="15.75" thickBot="1">
      <c r="A295" s="21" t="s">
        <v>910</v>
      </c>
      <c r="B295" s="4" t="s">
        <v>275</v>
      </c>
      <c r="C295" t="str">
        <f t="shared" si="4"/>
        <v xml:space="preserve">INSERT INTO url(direccion,idFemicidio) VALUES (' http://www.ladiscusion.cl/detalle/1124/Violento-femicidio-descubierto-anoche-conmociona-a-Quillón#sthash.2Aqzl2y1.dpbs ',' YA2016ch14 '); </v>
      </c>
    </row>
    <row r="296" spans="1:3" ht="15.75" thickBot="1">
      <c r="A296" s="21" t="s">
        <v>910</v>
      </c>
      <c r="B296" s="4" t="s">
        <v>276</v>
      </c>
      <c r="C296" t="str">
        <f t="shared" si="4"/>
        <v xml:space="preserve">INSERT INTO url(direccion,idFemicidio) VALUES (' http://www.ladiscusion.cl/detalle/1128/Aplazan-formalización-del-autor-confeso-de-femicidio-en-Quillón#sthash.h9Ifd8aB.dpbs ',' YA2016ch14 '); </v>
      </c>
    </row>
    <row r="297" spans="1:3" ht="30.75" thickBot="1">
      <c r="A297" s="21" t="s">
        <v>911</v>
      </c>
      <c r="B297" s="3" t="s">
        <v>277</v>
      </c>
      <c r="C297" t="str">
        <f t="shared" si="4"/>
        <v xml:space="preserve">INSERT INTO url(direccion,idFemicidio) VALUES (' http://www.emol.com/noticias/Nacional/2016/05/08/801727/Mujer-es-asesinada-por-su-pareja-y-se-convierte-en-13-victima-de-femicidio.html ',' AO2016ch18 '); </v>
      </c>
    </row>
    <row r="298" spans="1:3" ht="30.75" thickBot="1">
      <c r="A298" s="21" t="s">
        <v>911</v>
      </c>
      <c r="B298" s="3" t="s">
        <v>278</v>
      </c>
      <c r="C298" t="str">
        <f t="shared" si="4"/>
        <v xml:space="preserve">INSERT INTO url(direccion,idFemicidio) VALUES (' http://www.adnradio.cl/noticias/nacional/nuevo-femicidio-hombre-apunalo-a-su-pareja-en-la-granja/20160508/nota/3127111.aspx ',' AO2016ch18 '); </v>
      </c>
    </row>
    <row r="299" spans="1:3" ht="30.75" thickBot="1">
      <c r="A299" s="21" t="s">
        <v>911</v>
      </c>
      <c r="B299" s="3" t="s">
        <v>279</v>
      </c>
      <c r="C299" t="str">
        <f t="shared" si="4"/>
        <v xml:space="preserve">INSERT INTO url(direccion,idFemicidio) VALUES (' http://www.ahoranoticias.cl/noticias/nacional/172027-nuevo-feminicidio-hombre-apunalo-a-su-mujer-en-la-granja.html ',' AO2016ch18 '); </v>
      </c>
    </row>
    <row r="300" spans="1:3" ht="30.75" thickBot="1">
      <c r="A300" s="21" t="s">
        <v>911</v>
      </c>
      <c r="B300" s="3" t="s">
        <v>279</v>
      </c>
      <c r="C300" t="str">
        <f t="shared" si="4"/>
        <v xml:space="preserve">INSERT INTO url(direccion,idFemicidio) VALUES (' http://www.ahoranoticias.cl/noticias/nacional/172027-nuevo-feminicidio-hombre-apunalo-a-su-mujer-en-la-granja.html ',' AO2016ch18 '); </v>
      </c>
    </row>
    <row r="301" spans="1:3" ht="30.75" thickBot="1">
      <c r="A301" s="21" t="s">
        <v>911</v>
      </c>
      <c r="B301" s="3" t="s">
        <v>280</v>
      </c>
      <c r="C301" t="str">
        <f t="shared" si="4"/>
        <v xml:space="preserve">INSERT INTO url(direccion,idFemicidio) VALUES (' http://www.chvnoticias.cl/policial/nuevo-femicidio-pareja-asesino-a-mujer-en-la-granja/2016-05-08/153502.html ',' AO2016ch18 '); </v>
      </c>
    </row>
    <row r="302" spans="1:3" ht="15.75" thickBot="1">
      <c r="A302" s="21" t="s">
        <v>912</v>
      </c>
      <c r="B302" s="3" t="s">
        <v>281</v>
      </c>
      <c r="C302" t="str">
        <f t="shared" si="4"/>
        <v xml:space="preserve">INSERT INTO url(direccion,idFemicidio) VALUES (' http://www.soychile.cl/Santiago/Policial/2016/05/13/393152/PDI-detiene-a-presunto-autor-de-femicidio-en-Pudahuel.aspx ',' BL2016ch19 '); </v>
      </c>
    </row>
    <row r="303" spans="1:3" ht="15.75" thickBot="1">
      <c r="A303" s="21" t="s">
        <v>912</v>
      </c>
      <c r="B303" s="3" t="s">
        <v>282</v>
      </c>
      <c r="C303" t="str">
        <f t="shared" si="4"/>
        <v xml:space="preserve">INSERT INTO url(direccion,idFemicidio) VALUES (' http://www.24horas.cl/nacional/encuentran-cuerpo-de-victima-de-femicidio-oculto-en-el-local-donde-trabajaba-2014973 ',' BL2016ch19 '); </v>
      </c>
    </row>
    <row r="304" spans="1:3" ht="15.75" thickBot="1">
      <c r="A304" s="21" t="s">
        <v>912</v>
      </c>
      <c r="B304" s="3" t="s">
        <v>283</v>
      </c>
      <c r="C304" t="str">
        <f t="shared" si="4"/>
        <v xml:space="preserve">INSERT INTO url(direccion,idFemicidio) VALUES (' http://www.adnradio.cl/noticias/nacional/femicidio-en-pudahuel-hombre-confeso-haber-asesinado-a-su-pareja-de-54-anos/20160513/nota/3132164.aspx ',' BL2016ch19 '); </v>
      </c>
    </row>
    <row r="305" spans="1:3" ht="15.75" thickBot="1">
      <c r="A305" s="21" t="s">
        <v>912</v>
      </c>
      <c r="B305" s="3" t="s">
        <v>284</v>
      </c>
      <c r="C305" t="str">
        <f t="shared" si="4"/>
        <v xml:space="preserve">INSERT INTO url(direccion,idFemicidio) VALUES (' http://www.emol.com/noticias/Nacional/2016/05/13/802622/Investigan-el-asesinato-de-una-mujer-en-un-local-en-Pudahuel.html ',' BL2016ch19 '); </v>
      </c>
    </row>
    <row r="306" spans="1:3" ht="15.75" thickBot="1">
      <c r="A306" s="21" t="s">
        <v>912</v>
      </c>
      <c r="B306" s="3" t="s">
        <v>285</v>
      </c>
      <c r="C306" t="str">
        <f t="shared" si="4"/>
        <v xml:space="preserve">INSERT INTO url(direccion,idFemicidio) VALUES (' http://www.tropezon.cl/2016/05/13/femicidio-encuentran-mujer-muerta-en-pudahuel-rural/ ',' BL2016ch19 '); </v>
      </c>
    </row>
    <row r="307" spans="1:3" ht="15.75" thickBot="1">
      <c r="A307" s="21" t="s">
        <v>913</v>
      </c>
      <c r="B307" s="3" t="s">
        <v>286</v>
      </c>
      <c r="C307" t="str">
        <f t="shared" si="4"/>
        <v xml:space="preserve">INSERT INTO url(direccion,idFemicidio) VALUES (' https://www.facebook.com/permalink.php?story_fbid=142863802797302&amp;id=142772599473089 ',' V 2016ch21 '); </v>
      </c>
    </row>
    <row r="308" spans="1:3" ht="15.75" thickBot="1">
      <c r="A308" s="21" t="s">
        <v>913</v>
      </c>
      <c r="B308" s="3" t="s">
        <v>287</v>
      </c>
      <c r="C308" t="str">
        <f t="shared" si="4"/>
        <v xml:space="preserve">INSERT INTO url(direccion,idFemicidio) VALUES (' http://www.24horas.cl/nacional/femicidio-en-paine-hombre-dispara-con-una-escopeta-contra-su-pareja-2027212 ',' V 2016ch21 '); </v>
      </c>
    </row>
    <row r="309" spans="1:3" ht="15.75" thickBot="1">
      <c r="A309" s="21" t="s">
        <v>913</v>
      </c>
      <c r="B309" s="3" t="s">
        <v>288</v>
      </c>
      <c r="C309" t="str">
        <f t="shared" si="4"/>
        <v xml:space="preserve">INSERT INTO url(direccion,idFemicidio) VALUES (' http://www.biobiochile.cl/noticias/2016/05/26/nuevo-femicidio-hombre-asesino-a-su-mujer-con-una-escopeta-y-se-quito-la-vida-en-paine.shtml ',' V 2016ch21 '); </v>
      </c>
    </row>
    <row r="310" spans="1:3" ht="15.75" thickBot="1">
      <c r="A310" s="21" t="s">
        <v>913</v>
      </c>
      <c r="B310" s="3" t="s">
        <v>289</v>
      </c>
      <c r="C310" t="str">
        <f t="shared" si="4"/>
        <v xml:space="preserve">INSERT INTO url(direccion,idFemicidio) VALUES (' http://www.chvnoticias.cl/policial/femicidio-y-posterior-suicidio-se-registro-en-paine/2016-05-27/015514.html ',' V 2016ch21 '); </v>
      </c>
    </row>
    <row r="311" spans="1:3" ht="15.75" thickBot="1">
      <c r="A311" s="21" t="s">
        <v>913</v>
      </c>
      <c r="B311" s="3" t="s">
        <v>290</v>
      </c>
      <c r="C311" t="str">
        <f t="shared" si="4"/>
        <v xml:space="preserve">INSERT INTO url(direccion,idFemicidio) VALUES (' http://lanoticiaonline.cl/victima-de-femicidio-en-paine-era-de-rancagua/ ',' V 2016ch21 '); </v>
      </c>
    </row>
    <row r="312" spans="1:3" ht="15.75" thickBot="1">
      <c r="A312" s="21" t="s">
        <v>913</v>
      </c>
      <c r="B312" s="3" t="s">
        <v>291</v>
      </c>
      <c r="C312" t="str">
        <f t="shared" si="4"/>
        <v xml:space="preserve">INSERT INTO url(direccion,idFemicidio) VALUES (' http://www.pressreader.com/chile/la-tercera/20160528/281878707621221 ',' V 2016ch21 '); </v>
      </c>
    </row>
    <row r="313" spans="1:3" ht="30.75" thickBot="1">
      <c r="A313" s="21" t="s">
        <v>914</v>
      </c>
      <c r="B313" s="3" t="s">
        <v>292</v>
      </c>
      <c r="C313" t="str">
        <f t="shared" si="4"/>
        <v xml:space="preserve">INSERT INTO url(direccion,idFemicidio) VALUES (' http://www.emol.com/noticias/Nacional/2016/05/30/805267/PDI-revela-que-joven-mujer-fue-asesinada-en-medio-de-una-discusion-por-celos.html ',' VG2016ch22 '); </v>
      </c>
    </row>
    <row r="314" spans="1:3" ht="30.75" thickBot="1">
      <c r="A314" s="21" t="s">
        <v>914</v>
      </c>
      <c r="B314" s="3" t="s">
        <v>293</v>
      </c>
      <c r="C314" t="str">
        <f t="shared" si="4"/>
        <v xml:space="preserve">INSERT INTO url(direccion,idFemicidio) VALUES (' http://www.t13.cl/noticia/politica/gobierno-incluye-pareja-lesbiana-casos-femicidio ',' VG2016ch22 '); </v>
      </c>
    </row>
    <row r="315" spans="1:3" ht="30.75" thickBot="1">
      <c r="A315" s="21" t="s">
        <v>914</v>
      </c>
      <c r="B315" s="3" t="s">
        <v>294</v>
      </c>
      <c r="C315" t="str">
        <f t="shared" si="4"/>
        <v xml:space="preserve">INSERT INTO url(direccion,idFemicidio) VALUES (' http://www.eldinamo.cl/blog/ser-lesbiana-y-victima-de-femicidio-en-chile-una-deuda-pendiente/ ',' VG2016ch22 '); </v>
      </c>
    </row>
    <row r="316" spans="1:3" ht="30.75" thickBot="1">
      <c r="A316" s="21" t="s">
        <v>914</v>
      </c>
      <c r="B316" s="3" t="s">
        <v>295</v>
      </c>
      <c r="C316" t="str">
        <f t="shared" si="4"/>
        <v xml:space="preserve">INSERT INTO url(direccion,idFemicidio) VALUES (' https://www.publimetro.cl/cl/nacional/2016/05/30/femicidio-formalizan-mujer-que-mato-polola-quedo-prision-preventiva.html ',' VG2016ch22 '); </v>
      </c>
    </row>
    <row r="317" spans="1:3" ht="30.75" thickBot="1">
      <c r="A317" s="21" t="s">
        <v>914</v>
      </c>
      <c r="B317" s="3" t="s">
        <v>296</v>
      </c>
      <c r="C317" t="str">
        <f t="shared" si="4"/>
        <v xml:space="preserve">INSERT INTO url(direccion,idFemicidio) VALUES (' http://www.lacuarta.com/noticia/ministerio-de-la-mujer-incluye-como-femicidio-crimen-entre-pareja-lesbiana/ ',' VG2016ch22 '); </v>
      </c>
    </row>
    <row r="318" spans="1:3" ht="30.75" thickBot="1">
      <c r="A318" s="21" t="s">
        <v>914</v>
      </c>
      <c r="B318" s="3" t="s">
        <v>297</v>
      </c>
      <c r="C318" t="str">
        <f t="shared" si="4"/>
        <v xml:space="preserve">INSERT INTO url(direccion,idFemicidio) VALUES (' http://www.biobiochile.cl/noticias/nacional/region-metropolitana/2017/07/12/imputada-por-asesinar-a-su-polola-en-santiago-realizo-reconstitucion-de-escena-en-libertad.shtml ',' VG2016ch22 '); </v>
      </c>
    </row>
    <row r="319" spans="1:3" ht="30.75" thickBot="1">
      <c r="A319" s="21" t="s">
        <v>915</v>
      </c>
      <c r="B319" s="3" t="s">
        <v>298</v>
      </c>
      <c r="C319" t="str">
        <f t="shared" si="4"/>
        <v xml:space="preserve">INSERT INTO url(direccion,idFemicidio) VALUES (' https://laprensaaustral.cl/titular1/murio-joven-madre-brutalmente-agredida-en-la-via-publica/ ',' MG2016ch23 '); </v>
      </c>
    </row>
    <row r="320" spans="1:3" ht="30.75" thickBot="1">
      <c r="A320" s="21" t="s">
        <v>915</v>
      </c>
      <c r="B320" s="3" t="s">
        <v>299</v>
      </c>
      <c r="C320" t="str">
        <f t="shared" si="4"/>
        <v xml:space="preserve">INSERT INTO url(direccion,idFemicidio) VALUES (' http://www.biobiochile.cl/noticias/nacional/policial/2016/06/06/buscan-a-autor-de-brutal-muerte-de-joven-madre-en-punta-arenas.shtml ',' MG2016ch23 '); </v>
      </c>
    </row>
    <row r="321" spans="1:3" ht="30.75" thickBot="1">
      <c r="A321" s="21" t="s">
        <v>915</v>
      </c>
      <c r="B321" s="3" t="s">
        <v>300</v>
      </c>
      <c r="C321" t="str">
        <f t="shared" si="4"/>
        <v xml:space="preserve">INSERT INTO url(direccion,idFemicidio) VALUES (' http://elpinguino.com/noticia/2016/06/04/joven-madre-que-fue-brutalmente-golpeada-dejo-de-existir-en-hora-de-esta-tarde ',' MG2016ch23 '); </v>
      </c>
    </row>
    <row r="322" spans="1:3" ht="30.75" thickBot="1">
      <c r="A322" s="21" t="s">
        <v>915</v>
      </c>
      <c r="B322" s="3" t="s">
        <v>301</v>
      </c>
      <c r="C322" t="str">
        <f t="shared" si="4"/>
        <v xml:space="preserve">INSERT INTO url(direccion,idFemicidio) VALUES (' http://www.elpinguino.com/noticia/2016/06/01/joven-madre-fue-golpeada-brutalmente--y-se-debate-entre-la-vida-y-la-muerte ',' MG2016ch23 '); </v>
      </c>
    </row>
    <row r="323" spans="1:3" ht="15.75" thickBot="1">
      <c r="A323" s="21" t="s">
        <v>916</v>
      </c>
      <c r="B323" s="3" t="s">
        <v>302</v>
      </c>
      <c r="C323" t="str">
        <f t="shared" ref="C323:C386" si="5">"INSERT INTO url(direccion,idFemicidio) VALUES (' "&amp;B323&amp;" ',' "&amp;A323&amp;" '); "</f>
        <v xml:space="preserve">INSERT INTO url(direccion,idFemicidio) VALUES (' https://www.pagina12.com.ar/diario/suplementos/soy/1-4773-2016-09-30.html ',' NS2016ch24 '); </v>
      </c>
    </row>
    <row r="324" spans="1:3" ht="15.75" thickBot="1">
      <c r="A324" s="21" t="s">
        <v>916</v>
      </c>
      <c r="B324" s="3" t="s">
        <v>303</v>
      </c>
      <c r="C324" t="str">
        <f t="shared" si="5"/>
        <v xml:space="preserve">INSERT INTO url(direccion,idFemicidio) VALUES (' http://www.eldinamo.cl/nacional/2017/04/04/la-historia-de-nicole-y-el-silencio-que-rodea-su-brutal-asesinato/ ',' NS2016ch24 '); </v>
      </c>
    </row>
    <row r="325" spans="1:3" ht="15.75" thickBot="1">
      <c r="A325" s="21" t="s">
        <v>916</v>
      </c>
      <c r="B325" s="3" t="s">
        <v>304</v>
      </c>
      <c r="C325" t="str">
        <f t="shared" si="5"/>
        <v xml:space="preserve">INSERT INTO url(direccion,idFemicidio) VALUES (' http://www.elmostrador.cl/braga/2017/07/05/quien-era-nicole-saavedra-familia-y-organizaciones-lesbicas-denuncian-un-ano-de-impunidad-de-su-brutal-crimen/ ',' NS2016ch24 '); </v>
      </c>
    </row>
    <row r="326" spans="1:3" ht="15.75" thickBot="1">
      <c r="A326" s="21" t="s">
        <v>916</v>
      </c>
      <c r="B326" s="3" t="s">
        <v>305</v>
      </c>
      <c r="C326" t="str">
        <f t="shared" si="5"/>
        <v xml:space="preserve">INSERT INTO url(direccion,idFemicidio) VALUES (' https://www.elciudadano.cl/organizacion-social/nuevo-asesinato-de-joven-lesbiana-pone-en-alerta-a-las-agrupaciones-feministas/03/24/ ',' NS2016ch24 '); </v>
      </c>
    </row>
    <row r="327" spans="1:3" ht="15.75" thickBot="1">
      <c r="A327" s="21" t="s">
        <v>917</v>
      </c>
      <c r="B327" s="3" t="s">
        <v>306</v>
      </c>
      <c r="C327" t="str">
        <f t="shared" si="5"/>
        <v xml:space="preserve">INSERT INTO url(direccion,idFemicidio) VALUES (' http://www.soychile.cl/Calama/Policial/2016/07/27/408238/Parricidio-en-Calama-Hombre-asesino-a-su-esposa-e-hija.aspx ',' BT2016ch25 '); </v>
      </c>
    </row>
    <row r="328" spans="1:3" ht="15.75" thickBot="1">
      <c r="A328" s="21" t="s">
        <v>917</v>
      </c>
      <c r="B328" s="3" t="s">
        <v>307</v>
      </c>
      <c r="C328" t="str">
        <f t="shared" si="5"/>
        <v xml:space="preserve">INSERT INTO url(direccion,idFemicidio) VALUES (' http://larepublica.pe/sociedad/959767-asesina-a-su-esposa-y-a-su-hija-cuando-dormian-y-luego-intenta-suicidarse ',' BT2016ch25 '); </v>
      </c>
    </row>
    <row r="329" spans="1:3" ht="15.75" thickBot="1">
      <c r="A329" s="21" t="s">
        <v>917</v>
      </c>
      <c r="B329" s="3" t="s">
        <v>308</v>
      </c>
      <c r="C329" t="str">
        <f t="shared" si="5"/>
        <v xml:space="preserve">INSERT INTO url(direccion,idFemicidio) VALUES (' http://radiouno.pe/noticias/56710/categorias.php ',' BT2016ch25 '); </v>
      </c>
    </row>
    <row r="330" spans="1:3" ht="15.75" thickBot="1">
      <c r="A330" s="21" t="s">
        <v>917</v>
      </c>
      <c r="B330" s="3" t="s">
        <v>309</v>
      </c>
      <c r="C330" t="str">
        <f t="shared" si="5"/>
        <v xml:space="preserve">INSERT INTO url(direccion,idFemicidio) VALUES (' http://www.biobiochile.cl/noticias/nacional/region-de-antofagasta/2016/08/26/justicia-formaliza-a-acusado-de-matar-a-su-pareja-e-hija-de-tres-anos-en-calama.shtml ',' BT2016ch25 '); </v>
      </c>
    </row>
    <row r="331" spans="1:3" ht="15.75" thickBot="1">
      <c r="A331" s="21" t="s">
        <v>917</v>
      </c>
      <c r="B331" s="3" t="s">
        <v>310</v>
      </c>
      <c r="C331" t="str">
        <f t="shared" si="5"/>
        <v xml:space="preserve">INSERT INTO url(direccion,idFemicidio) VALUES (' http://www.americatv.com.pe/noticias/internacionales/chile-joven-peruana-y-su-hija-fueron-asesinadas-punaladas-n240817 ',' BT2016ch25 '); </v>
      </c>
    </row>
    <row r="332" spans="1:3" ht="15.75" thickBot="1">
      <c r="A332" s="21" t="s">
        <v>918</v>
      </c>
      <c r="B332" s="3" t="s">
        <v>311</v>
      </c>
      <c r="C332" t="str">
        <f t="shared" si="5"/>
        <v xml:space="preserve">INSERT INTO url(direccion,idFemicidio) VALUES (' https://www.eldeber.com.bo/mundo/Estrangulo-a-su-pareja-en-Chile-e-intento-suicidarse-20160811-84449.html ',' GF2016ch26 '); </v>
      </c>
    </row>
    <row r="333" spans="1:3" ht="15.75" thickBot="1">
      <c r="A333" s="21" t="s">
        <v>918</v>
      </c>
      <c r="B333" s="3" t="s">
        <v>312</v>
      </c>
      <c r="C333" t="str">
        <f t="shared" si="5"/>
        <v xml:space="preserve">INSERT INTO url(direccion,idFemicidio) VALUES (' http://www.mendozapost.com/nota/79532-murio-una-turista-en-un-accidente-vial-en-alvear/ ',' GF2016ch26 '); </v>
      </c>
    </row>
    <row r="334" spans="1:3" ht="15.75" thickBot="1">
      <c r="A334" s="21" t="s">
        <v>918</v>
      </c>
      <c r="B334" s="3" t="s">
        <v>313</v>
      </c>
      <c r="C334" t="str">
        <f t="shared" si="5"/>
        <v xml:space="preserve">INSERT INTO url(direccion,idFemicidio) VALUES (' https://www.diariouno.com.ar/policiales/crimen-una-mendocina-chile-la-mataron-un-panuelo-20160814-n1208443.html ',' GF2016ch26 '); </v>
      </c>
    </row>
    <row r="335" spans="1:3" ht="15.75" thickBot="1">
      <c r="A335" s="21" t="s">
        <v>918</v>
      </c>
      <c r="B335" s="3" t="s">
        <v>314</v>
      </c>
      <c r="C335" t="str">
        <f t="shared" si="5"/>
        <v xml:space="preserve">INSERT INTO url(direccion,idFemicidio) VALUES (' http://losandes.com.ar/article/hallaron-estrangulada-a-una-mendocina-en-su-casa-de-chile ',' GF2016ch26 '); </v>
      </c>
    </row>
    <row r="336" spans="1:3" ht="15.75" thickBot="1">
      <c r="A336" s="21" t="s">
        <v>918</v>
      </c>
      <c r="B336" s="3" t="s">
        <v>315</v>
      </c>
      <c r="C336" t="str">
        <f t="shared" si="5"/>
        <v xml:space="preserve">INSERT INTO url(direccion,idFemicidio) VALUES (' http://www.paraguay.com/internacionales/argentina-de-30-anos-muere-estrangulada-por-su-pareja-en-chile-149043 ',' GF2016ch26 '); </v>
      </c>
    </row>
    <row r="337" spans="1:3" ht="15.75" thickBot="1">
      <c r="A337" s="21" t="s">
        <v>918</v>
      </c>
      <c r="B337" s="3" t="s">
        <v>316</v>
      </c>
      <c r="C337" t="str">
        <f t="shared" si="5"/>
        <v xml:space="preserve">INSERT INTO url(direccion,idFemicidio) VALUES (' http://www.sitioandino.com.ar/n/207751/ ',' GF2016ch26 '); </v>
      </c>
    </row>
    <row r="338" spans="1:3" ht="15.75" thickBot="1">
      <c r="A338" s="21" t="s">
        <v>918</v>
      </c>
      <c r="B338" s="3" t="s">
        <v>317</v>
      </c>
      <c r="C338" t="str">
        <f t="shared" si="5"/>
        <v xml:space="preserve">INSERT INTO url(direccion,idFemicidio) VALUES (' https://www.infobae.com/sociedad/2016/08/13/mataron-a-una-argentina-en-chile-e-imputaron-a-su-esposo/ ',' GF2016ch26 '); </v>
      </c>
    </row>
    <row r="339" spans="1:3" ht="30.75" thickBot="1">
      <c r="A339" s="21" t="s">
        <v>919</v>
      </c>
      <c r="B339" s="3" t="s">
        <v>318</v>
      </c>
      <c r="C339" t="str">
        <f t="shared" si="5"/>
        <v xml:space="preserve">INSERT INTO url(direccion,idFemicidio) VALUES (' http://www.biobiochile.cl/noticias/nacional/chile/2016/08/20/mujer-muere-baleada-por-pareja-en-padre-hurtado-hombre-dice-que-la-confundio-con-ladron.shtml ',' NP2016ch27 '); </v>
      </c>
    </row>
    <row r="340" spans="1:3" ht="30.75" thickBot="1">
      <c r="A340" s="21" t="s">
        <v>919</v>
      </c>
      <c r="B340" s="3" t="s">
        <v>319</v>
      </c>
      <c r="C340" t="str">
        <f t="shared" si="5"/>
        <v xml:space="preserve">INSERT INTO url(direccion,idFemicidio) VALUES (' http://www.chvnoticias.cl/policial/hombre-de-71-anos-afirma-que-mato-a-su-pareja-por-error/2016-08-20/141051.html ',' NP2016ch27 '); </v>
      </c>
    </row>
    <row r="341" spans="1:3" ht="30.75" thickBot="1">
      <c r="A341" s="21" t="s">
        <v>919</v>
      </c>
      <c r="B341" s="3" t="s">
        <v>320</v>
      </c>
      <c r="C341" t="str">
        <f t="shared" si="5"/>
        <v xml:space="preserve">INSERT INTO url(direccion,idFemicidio) VALUES (' http://latendencia.cl/2016/08/20/actualidad/nuevo-femicidio-hombre-de-71-anos-asesino-su-pareja-40-anos-menor/ ',' NP2016ch27 '); </v>
      </c>
    </row>
    <row r="342" spans="1:3" ht="15.75" thickBot="1">
      <c r="A342" s="21" t="s">
        <v>920</v>
      </c>
      <c r="B342" s="3" t="s">
        <v>321</v>
      </c>
      <c r="C342" t="str">
        <f t="shared" si="5"/>
        <v xml:space="preserve">INSERT INTO url(direccion,idFemicidio) VALUES (' http://emergenciaspuertomontt.cl/joven-fue-encontrada-sin-vida-en-talca-autor-del-femicidio-esta-detenido-y-confeso/ ',' YC2016ch28 '); </v>
      </c>
    </row>
    <row r="343" spans="1:3" ht="15.75" thickBot="1">
      <c r="A343" s="21" t="s">
        <v>920</v>
      </c>
      <c r="B343" s="3" t="s">
        <v>322</v>
      </c>
      <c r="C343" t="str">
        <f t="shared" si="5"/>
        <v xml:space="preserve">INSERT INTO url(direccion,idFemicidio) VALUES (' http://www.paraguay.com/internacionales/joven-de-18-anos-es-decimonovena-victima-de-feminicidio-en-chile-150223 ',' YC2016ch28 '); </v>
      </c>
    </row>
    <row r="344" spans="1:3" ht="15.75" thickBot="1">
      <c r="A344" s="21" t="s">
        <v>920</v>
      </c>
      <c r="B344" s="3" t="s">
        <v>323</v>
      </c>
      <c r="C344" t="str">
        <f t="shared" si="5"/>
        <v xml:space="preserve">INSERT INTO url(direccion,idFemicidio) VALUES (' http://www.diarioeldia.cl/pais/joven-18-anos-es-decimonovena-victima-femicidio-en-chile-en-2016 ',' YC2016ch28 '); </v>
      </c>
    </row>
    <row r="345" spans="1:3" ht="15.75" thickBot="1">
      <c r="A345" s="21" t="s">
        <v>920</v>
      </c>
      <c r="B345" s="3" t="s">
        <v>324</v>
      </c>
      <c r="C345" t="str">
        <f t="shared" si="5"/>
        <v xml:space="preserve">INSERT INTO url(direccion,idFemicidio) VALUES (' http://www.wradio.com.co/noticias/internacional/joven-de-18-anos-es-decimonovena-victima-de-feminicidio-en-chile-en-2016/20160902/nota/3234836.aspx ',' YC2016ch28 '); </v>
      </c>
    </row>
    <row r="346" spans="1:3" ht="15.75" thickBot="1">
      <c r="A346" s="21" t="s">
        <v>921</v>
      </c>
      <c r="B346" s="3" t="s">
        <v>325</v>
      </c>
      <c r="C346" t="str">
        <f t="shared" si="5"/>
        <v xml:space="preserve">INSERT INTO url(direccion,idFemicidio) VALUES (' http://www.emol.com/noticias/Nacional/2016/09/04/820398/Mujer-muere-a-manos-de-su-ex-pareja-que-tenia-antecedentes-por-violencia.html ',' BB2016ch29 '); </v>
      </c>
    </row>
    <row r="347" spans="1:3" ht="15.75" thickBot="1">
      <c r="A347" s="21" t="s">
        <v>921</v>
      </c>
      <c r="B347" s="3" t="s">
        <v>326</v>
      </c>
      <c r="C347" t="str">
        <f t="shared" si="5"/>
        <v xml:space="preserve">INSERT INTO url(direccion,idFemicidio) VALUES (' http://www.cooperativa.cl/noticias/pais/policial/femicidio/en-prision-preventiva-quedo-sospechoso-del-femicidio-de-su-pareja-en/2016-09-04/141439.html ',' BB2016ch29 '); </v>
      </c>
    </row>
    <row r="348" spans="1:3" ht="15.75" thickBot="1">
      <c r="A348" s="21" t="s">
        <v>921</v>
      </c>
      <c r="B348" s="3" t="s">
        <v>327</v>
      </c>
      <c r="C348" t="str">
        <f t="shared" si="5"/>
        <v xml:space="preserve">INSERT INTO url(direccion,idFemicidio) VALUES (' https://www.publimetro.cl/cl/noticias/2017/12/26/la-justicia-llego-cadena-perpetua-autor-femicidio-renca.html ',' BB2016ch29 '); </v>
      </c>
    </row>
    <row r="349" spans="1:3" ht="30.75" thickBot="1">
      <c r="A349" s="21" t="s">
        <v>922</v>
      </c>
      <c r="B349" s="3" t="s">
        <v>328</v>
      </c>
      <c r="C349" t="str">
        <f t="shared" si="5"/>
        <v xml:space="preserve">INSERT INTO url(direccion,idFemicidio) VALUES (' https://tn.com.ar/policiales/una-argentina-fue-apunalada-por-su-pareja-en-chile_711850 ',' MF2016ch30 '); </v>
      </c>
    </row>
    <row r="350" spans="1:3" ht="30.75" thickBot="1">
      <c r="A350" s="21" t="s">
        <v>922</v>
      </c>
      <c r="B350" s="3" t="s">
        <v>329</v>
      </c>
      <c r="C350" t="str">
        <f t="shared" si="5"/>
        <v xml:space="preserve">INSERT INTO url(direccion,idFemicidio) VALUES (' https://www.publimetro.cl/cl/nacional/2016/09/07/caso-femicidio-hualqui-mujer-asesinada-pareja-dia-cumpleanos.html ',' MF2016ch30 '); </v>
      </c>
    </row>
    <row r="351" spans="1:3" ht="30.75" thickBot="1">
      <c r="A351" s="21" t="s">
        <v>922</v>
      </c>
      <c r="B351" s="3" t="s">
        <v>330</v>
      </c>
      <c r="C351" t="str">
        <f t="shared" si="5"/>
        <v xml:space="preserve">INSERT INTO url(direccion,idFemicidio) VALUES (' http://www.lanacion.com.ar/1935721-mariela-del-carmen-fernandez-chile-muerte-femicidio ',' MF2016ch30 '); </v>
      </c>
    </row>
    <row r="352" spans="1:3" ht="30.75" thickBot="1">
      <c r="A352" s="21" t="s">
        <v>922</v>
      </c>
      <c r="B352" s="3" t="s">
        <v>331</v>
      </c>
      <c r="C352" t="str">
        <f t="shared" si="5"/>
        <v xml:space="preserve">INSERT INTO url(direccion,idFemicidio) VALUES (' https://www.infobae.com/sociedad/2016/09/08/un-chico-con-sindrome-de-asperger-clave-para-develar-el-femicidio-de-una-argentina-en-chile/ ',' MF2016ch30 '); </v>
      </c>
    </row>
    <row r="353" spans="1:3" ht="15.75" thickBot="1">
      <c r="A353" s="21" t="s">
        <v>923</v>
      </c>
      <c r="B353" s="3" t="s">
        <v>332</v>
      </c>
      <c r="C353" t="str">
        <f t="shared" si="5"/>
        <v xml:space="preserve">INSERT INTO url(direccion,idFemicidio) VALUES (' http://www.cooperativa.cl/noticias/pais/policial/femicidio/femicidio-se-registro-en-la-comuna-de-cerro-navia/2016-09-11/182102.html ',' M 2016ch31 '); </v>
      </c>
    </row>
    <row r="354" spans="1:3" ht="15.75" thickBot="1">
      <c r="A354" s="21" t="s">
        <v>923</v>
      </c>
      <c r="B354" s="3" t="s">
        <v>333</v>
      </c>
      <c r="C354" t="str">
        <f t="shared" si="5"/>
        <v xml:space="preserve">INSERT INTO url(direccion,idFemicidio) VALUES (' http://www.biobiochile.cl/noticias/nacional/region-metropolitana/2016/09/11/ministerio-de-la-mujer-condeno-nuevo-femicidio-registrado-el-sabado-en-cerro-navia.shtml ',' M 2016ch31 '); </v>
      </c>
    </row>
    <row r="355" spans="1:3" ht="15.75" thickBot="1">
      <c r="A355" s="21" t="s">
        <v>924</v>
      </c>
      <c r="B355" s="3" t="s">
        <v>334</v>
      </c>
      <c r="C355" t="str">
        <f t="shared" si="5"/>
        <v xml:space="preserve">INSERT INTO url(direccion,idFemicidio) VALUES (' http://www.soychile.cl/Valparaiso/Policial/2016/09/21/419176/Detienen-a-presunto-responsable-de-la-muerte-de-una-mujer-en-Villa-Alemana.aspx ',' LJ2016ch32 '); </v>
      </c>
    </row>
    <row r="356" spans="1:3" ht="15.75" thickBot="1">
      <c r="A356" s="21" t="s">
        <v>924</v>
      </c>
      <c r="B356" s="3" t="s">
        <v>335</v>
      </c>
      <c r="C356" t="str">
        <f t="shared" si="5"/>
        <v xml:space="preserve">INSERT INTO url(direccion,idFemicidio) VALUES (' http://www.biobiochile.cl/noticias/nacional/region-de-valparaiso/2016/09/21/detienen-a-sospechoso-de-crimen-de-mujer-en-villa-alemana.shtml ',' LJ2016ch32 '); </v>
      </c>
    </row>
    <row r="357" spans="1:3" ht="15.75" thickBot="1">
      <c r="A357" s="21" t="s">
        <v>924</v>
      </c>
      <c r="B357" s="3" t="s">
        <v>336</v>
      </c>
      <c r="C357" t="str">
        <f t="shared" si="5"/>
        <v xml:space="preserve">INSERT INTO url(direccion,idFemicidio) VALUES (' http://www.chvnoticias.cl/policial/investigan-causas-de-homicidio-a-una-mujer-en-villa-alemana/2016-09-19/233214.html ',' LJ2016ch32 '); </v>
      </c>
    </row>
    <row r="358" spans="1:3" ht="30.75" thickBot="1">
      <c r="A358" s="21" t="s">
        <v>925</v>
      </c>
      <c r="B358" s="3" t="s">
        <v>337</v>
      </c>
      <c r="C358" t="str">
        <f t="shared" si="5"/>
        <v xml:space="preserve">INSERT INTO url(direccion,idFemicidio) VALUES (' https://m.facebook.com/niunamenoschile/posts/2121535071406628 ',' DA2016ch33 '); </v>
      </c>
    </row>
    <row r="359" spans="1:3" ht="30.75" thickBot="1">
      <c r="A359" s="21" t="s">
        <v>925</v>
      </c>
      <c r="B359" s="3" t="s">
        <v>338</v>
      </c>
      <c r="C359" t="str">
        <f t="shared" si="5"/>
        <v xml:space="preserve">INSERT INTO url(direccion,idFemicidio) VALUES (' http://www.biobiochile.cl/noticias/nacional/chile/2016/10/07/detienen-a-subinspector-de-la-pdi-por-la-muerte-de-su-pareja-en-la-cisterna.shtml ',' DA2016ch33 '); </v>
      </c>
    </row>
    <row r="360" spans="1:3" ht="30.75" thickBot="1">
      <c r="A360" s="21" t="s">
        <v>925</v>
      </c>
      <c r="B360" s="3" t="s">
        <v>339</v>
      </c>
      <c r="C360" t="str">
        <f t="shared" si="5"/>
        <v xml:space="preserve">INSERT INTO url(direccion,idFemicidio) VALUES (' http://www.chvnoticias.cl/policial/funcionario-pdi-fue-detenido-por-presunto-femicidio/2016-10-08/212155.html ',' DA2016ch33 '); </v>
      </c>
    </row>
    <row r="361" spans="1:3" ht="30.75" thickBot="1">
      <c r="A361" s="21" t="s">
        <v>925</v>
      </c>
      <c r="B361" s="3" t="s">
        <v>340</v>
      </c>
      <c r="C361" t="str">
        <f t="shared" si="5"/>
        <v xml:space="preserve">INSERT INTO url(direccion,idFemicidio) VALUES (' http://www.ahoranoticias.cl/noticias/nacional/181363-detienen-a-subinspector-de-la-pdi-por-la-muerte-de-su-pareja.html ',' DA2016ch33 '); </v>
      </c>
    </row>
    <row r="362" spans="1:3" ht="30.75" thickBot="1">
      <c r="A362" s="21" t="s">
        <v>925</v>
      </c>
      <c r="B362" s="3" t="s">
        <v>341</v>
      </c>
      <c r="C362" t="str">
        <f t="shared" si="5"/>
        <v xml:space="preserve">INSERT INTO url(direccion,idFemicidio) VALUES (' http://www.ahoranoticias.cl/noticias/nacional/181459-funcionario-de-la-pdi-detenido-por-la-muerte-de-su-pareja-quedo-en-libertad.html ',' DA2016ch33 '); </v>
      </c>
    </row>
    <row r="363" spans="1:3" ht="30.75" thickBot="1">
      <c r="A363" s="21" t="s">
        <v>925</v>
      </c>
      <c r="B363" s="3" t="s">
        <v>342</v>
      </c>
      <c r="C363" t="str">
        <f t="shared" si="5"/>
        <v xml:space="preserve">INSERT INTO url(direccion,idFemicidio) VALUES (' http://www.soychile.cl/Santiago/Policial/2016/10/08/422547/Enigma-policial-funcionario-de-la-PDI-detenido-por-la-muerte-de-su-esposa.aspx ',' DA2016ch33 '); </v>
      </c>
    </row>
    <row r="364" spans="1:3" ht="30.75" thickBot="1">
      <c r="A364" s="21" t="s">
        <v>925</v>
      </c>
      <c r="B364" s="3" t="s">
        <v>343</v>
      </c>
      <c r="C364" t="str">
        <f t="shared" si="5"/>
        <v xml:space="preserve">INSERT INTO url(direccion,idFemicidio) VALUES (' http://elurbanorural.cl/el-femicidio-es-la-forma-mas-extrema-de-violencia-contra-las-mujeres-y-toda-la-ciudadania-debe-comprometerse-en-su-erradicacion/ ',' DA2016ch33 '); </v>
      </c>
    </row>
    <row r="365" spans="1:3" ht="30.75" thickBot="1">
      <c r="A365" s="21" t="s">
        <v>926</v>
      </c>
      <c r="B365" s="3" t="s">
        <v>344</v>
      </c>
      <c r="C365" t="str">
        <f t="shared" si="5"/>
        <v xml:space="preserve">INSERT INTO url(direccion,idFemicidio) VALUES (' http://www.ahoranoticias.cl/noticias/nacional/181402-nuevo-femicidio-en-colina-carabineros-detiene-al-presunto-autor-del-crimen.html ',' CM2016ch34 '); </v>
      </c>
    </row>
    <row r="366" spans="1:3" ht="30.75" thickBot="1">
      <c r="A366" s="21" t="s">
        <v>926</v>
      </c>
      <c r="B366" s="3" t="s">
        <v>345</v>
      </c>
      <c r="C366" t="str">
        <f t="shared" si="5"/>
        <v xml:space="preserve">INSERT INTO url(direccion,idFemicidio) VALUES (' http://www.emol.com/noticias/Nacional/2016/10/09/825715/Detienen-a-hombre-acusado-de-matar-a-su-ex-pareja-tras-discusion-por-la-tarjeta-del-banco.html ',' CM2016ch34 '); </v>
      </c>
    </row>
    <row r="367" spans="1:3" ht="30.75" thickBot="1">
      <c r="A367" s="21" t="s">
        <v>926</v>
      </c>
      <c r="B367" s="3" t="s">
        <v>346</v>
      </c>
      <c r="C367" t="str">
        <f t="shared" si="5"/>
        <v xml:space="preserve">INSERT INTO url(direccion,idFemicidio) VALUES (' http://www.t13.cl/noticia/nacional/colina-hombre-asesina-su-pareja-porque-no-quiso-entregarle-su-tarjeta-credito ',' CM2016ch34 '); </v>
      </c>
    </row>
    <row r="368" spans="1:3" ht="30.75" thickBot="1">
      <c r="A368" s="21" t="s">
        <v>926</v>
      </c>
      <c r="B368" s="3" t="s">
        <v>347</v>
      </c>
      <c r="C368" t="str">
        <f t="shared" si="5"/>
        <v xml:space="preserve">INSERT INTO url(direccion,idFemicidio) VALUES (' https://www.pressreader.com/chile/la-cuarta/20161010/281706909193143 ',' CM2016ch34 '); </v>
      </c>
    </row>
    <row r="369" spans="1:3" ht="30.75" thickBot="1">
      <c r="A369" s="21" t="s">
        <v>926</v>
      </c>
      <c r="B369" s="3" t="s">
        <v>348</v>
      </c>
      <c r="C369" t="str">
        <f t="shared" si="5"/>
        <v xml:space="preserve">INSERT INTO url(direccion,idFemicidio) VALUES (' http://www.cooperativa.cl/noticias/pais/policial/femicidio/nuevo-femicidio-hombre-mato-a-su-ex-pareja-en-colina/2016-10-09/124724.html ',' CM2016ch34 '); </v>
      </c>
    </row>
    <row r="370" spans="1:3" ht="30.75" thickBot="1">
      <c r="A370" s="21" t="s">
        <v>927</v>
      </c>
      <c r="B370" s="3" t="s">
        <v>349</v>
      </c>
      <c r="C370" t="str">
        <f t="shared" si="5"/>
        <v xml:space="preserve">INSERT INTO url(direccion,idFemicidio) VALUES (' http://www.elrepuertero.cl/noticia/sociedad/murio-la-mujer-apunalada-por-su-pareja-en-notaria-de-puerto-montt-deja-4-hijos ',' VM2016ch35 '); </v>
      </c>
    </row>
    <row r="371" spans="1:3" ht="30.75" thickBot="1">
      <c r="A371" s="21" t="s">
        <v>927</v>
      </c>
      <c r="B371" s="3" t="s">
        <v>350</v>
      </c>
      <c r="C371" t="str">
        <f t="shared" si="5"/>
        <v xml:space="preserve">INSERT INTO url(direccion,idFemicidio) VALUES (' http://www.emol.com/noticias/Nacional/2016/10/13/826268/Murio-joven-colombiana-apunalada-por-su-pareja-en-una-notaria-de-Puerto-Montt.html ',' VM2016ch35 '); </v>
      </c>
    </row>
    <row r="372" spans="1:3" ht="30.75" thickBot="1">
      <c r="A372" s="21" t="s">
        <v>927</v>
      </c>
      <c r="B372" s="3" t="s">
        <v>351</v>
      </c>
      <c r="C372" t="str">
        <f t="shared" si="5"/>
        <v xml:space="preserve">INSERT INTO url(direccion,idFemicidio) VALUES (' https://www.laopinion.com.co/mundo/colombiana-fue-asesinada-por-su-esposo-en-una-notaria-de-chile-120784#OP ',' VM2016ch35 '); </v>
      </c>
    </row>
    <row r="373" spans="1:3" ht="30.75" thickBot="1">
      <c r="A373" s="21" t="s">
        <v>927</v>
      </c>
      <c r="B373" s="3" t="s">
        <v>352</v>
      </c>
      <c r="C373" t="str">
        <f t="shared" si="5"/>
        <v xml:space="preserve">INSERT INTO url(direccion,idFemicidio) VALUES (' https://www.elheraldo.co/mundo/colombiana-fue-asesinada-de-5-punaladas-por-su-esposo-en-chile-293778 ',' VM2016ch35 '); </v>
      </c>
    </row>
    <row r="374" spans="1:3" ht="30.75" thickBot="1">
      <c r="A374" s="21" t="s">
        <v>927</v>
      </c>
      <c r="B374" s="3" t="s">
        <v>353</v>
      </c>
      <c r="C374" t="str">
        <f t="shared" si="5"/>
        <v xml:space="preserve">INSERT INTO url(direccion,idFemicidio) VALUES (' http://www.soychile.cl/Puerto-Montt/Policial/2016/10/13/423397/Murio-la-joven-colombiana-que-fue-apunalada-en-una-notaria-de-Puerto-Montt.aspx ',' VM2016ch35 '); </v>
      </c>
    </row>
    <row r="375" spans="1:3" ht="30.75" thickBot="1">
      <c r="A375" s="21" t="s">
        <v>927</v>
      </c>
      <c r="B375" s="3" t="s">
        <v>354</v>
      </c>
      <c r="C375" t="str">
        <f t="shared" si="5"/>
        <v xml:space="preserve">INSERT INTO url(direccion,idFemicidio) VALUES (' https://www.facebook.com/PoderJudicialdeChile/photos/a.223728407723265.48016.223518014410971/1110790695683694/?type=3&amp;theater ',' VM2016ch35 '); </v>
      </c>
    </row>
    <row r="376" spans="1:3" ht="30.75" thickBot="1">
      <c r="A376" s="21" t="s">
        <v>928</v>
      </c>
      <c r="B376" s="3" t="s">
        <v>355</v>
      </c>
      <c r="C376" t="str">
        <f t="shared" si="5"/>
        <v xml:space="preserve">INSERT INTO url(direccion,idFemicidio) VALUES (' http://www.minmujeryeg.cl/sernam-regional/region_lagos/sermaneg-logra-cadena-perpetua-autor-femicidio-ocurrido-2016/ ',' BM2016ch36 '); </v>
      </c>
    </row>
    <row r="377" spans="1:3" ht="30.75" thickBot="1">
      <c r="A377" s="21" t="s">
        <v>928</v>
      </c>
      <c r="B377" s="3" t="s">
        <v>356</v>
      </c>
      <c r="C377" t="str">
        <f t="shared" si="5"/>
        <v xml:space="preserve">INSERT INTO url(direccion,idFemicidio) VALUES (' http://www.soychile.cl/Puerto-Montt/Policial/2016/10/17/424104/Otro-femicidio-en-Puerto-Montt-hombre-apunalo-a-su-esposa-delante-de-sus-hijas.aspx ',' BM2016ch36 '); </v>
      </c>
    </row>
    <row r="378" spans="1:3" ht="30.75" thickBot="1">
      <c r="A378" s="21" t="s">
        <v>928</v>
      </c>
      <c r="B378" s="3" t="s">
        <v>357</v>
      </c>
      <c r="C378" t="str">
        <f t="shared" si="5"/>
        <v xml:space="preserve">INSERT INTO url(direccion,idFemicidio) VALUES (' http://www.cooperativa.cl/noticias/pais/policial/femicidio/segundo-femicidio-en-menos-de-una-semana-enluta-a-puerto-montt/2016-10-18/003322.html ',' BM2016ch36 '); </v>
      </c>
    </row>
    <row r="379" spans="1:3" ht="30.75" thickBot="1">
      <c r="A379" s="21" t="s">
        <v>928</v>
      </c>
      <c r="B379" s="3" t="s">
        <v>358</v>
      </c>
      <c r="C379" t="str">
        <f t="shared" si="5"/>
        <v xml:space="preserve">INSERT INTO url(direccion,idFemicidio) VALUES (' http://www.emol.com/noticias/Nacional/2016/10/17/826864/Nuevo-femicicio-en-Puerto-Montt-Mujer-murio-tras-ser-atacada-presuntamente-por-su-pareja.html ',' BM2016ch36 '); </v>
      </c>
    </row>
    <row r="380" spans="1:3" ht="15.75" thickBot="1">
      <c r="A380" s="21" t="s">
        <v>929</v>
      </c>
      <c r="B380" s="3" t="s">
        <v>359</v>
      </c>
      <c r="C380" t="str">
        <f t="shared" si="5"/>
        <v xml:space="preserve">INSERT INTO url(direccion,idFemicidio) VALUES (' http://www.latribuna.cl/noticia.php?id=MTI4NzM= ',' CC2016ch37 '); </v>
      </c>
    </row>
    <row r="381" spans="1:3" ht="15.75" thickBot="1">
      <c r="A381" s="21" t="s">
        <v>929</v>
      </c>
      <c r="B381" s="3" t="s">
        <v>360</v>
      </c>
      <c r="C381" t="str">
        <f t="shared" si="5"/>
        <v xml:space="preserve">INSERT INTO url(direccion,idFemicidio) VALUES (' http://www.biobiochile.cl/noticias/nacional/region-del-bio-bio/2016/10/21/detienen-a-un-hombre-acusado-de-asesinar-a-mujer-desaparecida-en-laja.shtml ',' CC2016ch37 '); </v>
      </c>
    </row>
    <row r="382" spans="1:3" ht="15.75" thickBot="1">
      <c r="A382" s="21" t="s">
        <v>929</v>
      </c>
      <c r="B382" s="3" t="s">
        <v>361</v>
      </c>
      <c r="C382" t="str">
        <f t="shared" si="5"/>
        <v xml:space="preserve">INSERT INTO url(direccion,idFemicidio) VALUES (' http://www.lacuarta.com/noticia/investiga-femicidio-claudia-cruzat/ ',' CC2016ch37 '); </v>
      </c>
    </row>
    <row r="383" spans="1:3" ht="15.75" thickBot="1">
      <c r="A383" s="21" t="s">
        <v>929</v>
      </c>
      <c r="B383" s="3" t="s">
        <v>362</v>
      </c>
      <c r="C383" t="str">
        <f t="shared" si="5"/>
        <v xml:space="preserve">INSERT INTO url(direccion,idFemicidio) VALUES (' http://www.chvnoticias.cl/policial/sujeto-confeso-haber-matado-a-mujer-que-era-buscada/2016-10-21/141955.html ',' CC2016ch37 '); </v>
      </c>
    </row>
    <row r="384" spans="1:3" ht="15.75" thickBot="1">
      <c r="A384" s="21" t="s">
        <v>929</v>
      </c>
      <c r="B384" s="3" t="s">
        <v>363</v>
      </c>
      <c r="C384" t="str">
        <f t="shared" si="5"/>
        <v xml:space="preserve">INSERT INTO url(direccion,idFemicidio) VALUES (' https://resumen.cl/articulos/investigan-posible-femicidio-claudia-cruzat-laja ',' CC2016ch37 '); </v>
      </c>
    </row>
    <row r="385" spans="1:3" ht="30.75" thickBot="1">
      <c r="A385" s="21" t="s">
        <v>930</v>
      </c>
      <c r="B385" s="4" t="s">
        <v>364</v>
      </c>
      <c r="C385" t="str">
        <f t="shared" si="5"/>
        <v xml:space="preserve">INSERT INTO url(direccion,idFemicidio) VALUES (' http://www.ladiscusion.cl/detalle/7431/Víctima-de-presunto-femicidio-en-Santiago-será-sepultada-en-Quillón-#sthash.MMRiA7Yo.dpbs ',' PQ2016ch38 '); </v>
      </c>
    </row>
    <row r="386" spans="1:3" ht="30.75" thickBot="1">
      <c r="A386" s="21" t="s">
        <v>930</v>
      </c>
      <c r="B386" s="3" t="s">
        <v>365</v>
      </c>
      <c r="C386" t="str">
        <f t="shared" si="5"/>
        <v xml:space="preserve">INSERT INTO url(direccion,idFemicidio) VALUES (' http://www.biobiochile.cl/noticias/nacional/region-metropolitana/2016/10/25/investigan-presunto-femicidio-en-santiago-tras-encontrar-a-mujer-muerta-en-su-departamento.shtml ',' PQ2016ch38 '); </v>
      </c>
    </row>
    <row r="387" spans="1:3" ht="30.75" thickBot="1">
      <c r="A387" s="21" t="s">
        <v>930</v>
      </c>
      <c r="B387" s="3" t="s">
        <v>366</v>
      </c>
      <c r="C387" t="str">
        <f t="shared" ref="C387:C409" si="6">"INSERT INTO url(direccion,idFemicidio) VALUES (' "&amp;B387&amp;" ',' "&amp;A387&amp;" '); "</f>
        <v xml:space="preserve">INSERT INTO url(direccion,idFemicidio) VALUES (' http://www.24horas.cl/nacional/encuentran-cuerpo-sin-vida-de-una-mujer-al-interior-de-su-departamento-en-santiago-centro-2172543 ',' PQ2016ch38 '); </v>
      </c>
    </row>
    <row r="388" spans="1:3" ht="30.75" thickBot="1">
      <c r="A388" s="21" t="s">
        <v>930</v>
      </c>
      <c r="B388" s="3" t="s">
        <v>367</v>
      </c>
      <c r="C388" t="str">
        <f t="shared" si="6"/>
        <v xml:space="preserve">INSERT INTO url(direccion,idFemicidio) VALUES (' http://www.chvnoticias.cl/policial/mujer-fue-asesinada-en-estacion-central/2016-10-24/225057.html ',' PQ2016ch38 '); </v>
      </c>
    </row>
    <row r="389" spans="1:3" ht="30.75" thickBot="1">
      <c r="A389" s="21" t="s">
        <v>931</v>
      </c>
      <c r="B389" s="3" t="s">
        <v>368</v>
      </c>
      <c r="C389" t="str">
        <f t="shared" si="6"/>
        <v xml:space="preserve">INSERT INTO url(direccion,idFemicidio) VALUES (' http://www.biobiochile.cl/noticias/nacional/region-metropolitana/2016/11/01/encuentran-muerta-a-joven-desaparecida-hace-nueve-dias-en-la-comuna-de-el-monte.shtml ',' CN2016ch39 '); </v>
      </c>
    </row>
    <row r="390" spans="1:3" ht="30.75" thickBot="1">
      <c r="A390" s="21" t="s">
        <v>931</v>
      </c>
      <c r="B390" s="3" t="s">
        <v>369</v>
      </c>
      <c r="C390" t="str">
        <f t="shared" si="6"/>
        <v xml:space="preserve">INSERT INTO url(direccion,idFemicidio) VALUES (' http://www.emol.com/noticias/Nacional/2016/11/02/829256/Sospechoso-por-crimen-de-mujer-desparecida-en-El-Paico-pasara-a-control-de-detencion-esta-manana.html ',' CN2016ch39 '); </v>
      </c>
    </row>
    <row r="391" spans="1:3" ht="30.75" thickBot="1">
      <c r="A391" s="21" t="s">
        <v>931</v>
      </c>
      <c r="B391" s="3" t="s">
        <v>370</v>
      </c>
      <c r="C391" t="str">
        <f t="shared" si="6"/>
        <v xml:space="preserve">INSERT INTO url(direccion,idFemicidio) VALUES (' http://www.eldesconcierto.cl/2016/11/02/una-mas-encuentran-muerta-a-mujer-de-27-anos-desaparecida-en-el-monte/ ',' CN2016ch39 '); </v>
      </c>
    </row>
    <row r="392" spans="1:3" ht="15.75" thickBot="1">
      <c r="A392" s="21" t="s">
        <v>932</v>
      </c>
      <c r="B392" s="3" t="s">
        <v>371</v>
      </c>
      <c r="C392" t="str">
        <f t="shared" si="6"/>
        <v xml:space="preserve">INSERT INTO url(direccion,idFemicidio) VALUES (' http://www.biobiochile.cl/noticias/nacional/region-de-valparaiso/2016/11/04/femicidio-en-quillota-joven-embarazada-fue-estrangulada-por-su-pareja.shtml ',' JS2016ch40 '); </v>
      </c>
    </row>
    <row r="393" spans="1:3" ht="15.75" thickBot="1">
      <c r="A393" s="21" t="s">
        <v>932</v>
      </c>
      <c r="B393" s="3" t="s">
        <v>372</v>
      </c>
      <c r="C393" t="str">
        <f t="shared" si="6"/>
        <v xml:space="preserve">INSERT INTO url(direccion,idFemicidio) VALUES (' http://www.t13.cl/noticia/nacional/joven-embarazada-es-estrangulada-su-pareja-quillota ',' JS2016ch40 '); </v>
      </c>
    </row>
    <row r="394" spans="1:3" ht="15.75" thickBot="1">
      <c r="A394" s="21" t="s">
        <v>932</v>
      </c>
      <c r="B394" s="3" t="s">
        <v>373</v>
      </c>
      <c r="C394" t="str">
        <f t="shared" si="6"/>
        <v xml:space="preserve">INSERT INTO url(direccion,idFemicidio) VALUES (' http://www.emol.com/noticias/Nacional/2016/11/04/829754/Femicidio-numero-29-joven-embarazada-es-estrangulada-por-pareja.html ',' JS2016ch40 '); </v>
      </c>
    </row>
    <row r="395" spans="1:3" ht="15.75" thickBot="1">
      <c r="A395" s="21" t="s">
        <v>932</v>
      </c>
      <c r="B395" s="3" t="s">
        <v>374</v>
      </c>
      <c r="C395" t="str">
        <f t="shared" si="6"/>
        <v xml:space="preserve">INSERT INTO url(direccion,idFemicidio) VALUES (' http://www.eldesconcierto.cl/2016/11/05/niunamenos-femicidio-de-johanna-soto-joven-madre-de-24-anos-causa-conmocion-en-quillota/ ',' JS2016ch40 '); </v>
      </c>
    </row>
    <row r="396" spans="1:3" ht="30.75" thickBot="1">
      <c r="A396" s="21" t="s">
        <v>933</v>
      </c>
      <c r="B396" s="3" t="s">
        <v>375</v>
      </c>
      <c r="C396" t="str">
        <f t="shared" si="6"/>
        <v xml:space="preserve">INSERT INTO url(direccion,idFemicidio) VALUES (' https://www.elciudadano.cl/justicia/chile-hombre-golpeo-a-mujer-hasta-matarla-y-luego-quemo-su-cuerpo/11/09/ ',' NP2016ch41 '); </v>
      </c>
    </row>
    <row r="397" spans="1:3" ht="30.75" thickBot="1">
      <c r="A397" s="21" t="s">
        <v>933</v>
      </c>
      <c r="B397" s="3" t="s">
        <v>376</v>
      </c>
      <c r="C397" t="str">
        <f t="shared" si="6"/>
        <v xml:space="preserve">INSERT INTO url(direccion,idFemicidio) VALUES (' http://www.biobiochile.cl/noticias/nacional/region-de-la-araucania/2016/11/09/una-mujer-de-44-anos-fue-asesinada-a-golpes-en-lautaro-autor-confeso-quemo-el-cuerpo.shtml ',' NP2016ch41 '); </v>
      </c>
    </row>
    <row r="398" spans="1:3" ht="15.75" thickBot="1">
      <c r="A398" s="21" t="s">
        <v>934</v>
      </c>
      <c r="B398" s="3" t="s">
        <v>377</v>
      </c>
      <c r="C398" t="str">
        <f t="shared" si="6"/>
        <v xml:space="preserve">INSERT INTO url(direccion,idFemicidio) VALUES (' http://www.chvnoticias.cl/policial/mujer-de-54-anos-es-la-victima-numero-31-de-femicidio/2016-11-16/141558.html ',' EU2016ch42 '); </v>
      </c>
    </row>
    <row r="399" spans="1:3" ht="15.75" thickBot="1">
      <c r="A399" s="21" t="s">
        <v>934</v>
      </c>
      <c r="B399" s="3" t="s">
        <v>378</v>
      </c>
      <c r="C399" t="str">
        <f t="shared" si="6"/>
        <v xml:space="preserve">INSERT INTO url(direccion,idFemicidio) VALUES (' http://www.24horas.cl/nacional/hombre-mato-a-su-esposa-en-coronel-y-dejo-carta-explicando-los-motivos-2194305 ',' EU2016ch42 '); </v>
      </c>
    </row>
    <row r="400" spans="1:3" ht="15.75" thickBot="1">
      <c r="A400" s="21" t="s">
        <v>934</v>
      </c>
      <c r="B400" s="3" t="s">
        <v>379</v>
      </c>
      <c r="C400" t="str">
        <f t="shared" si="6"/>
        <v xml:space="preserve">INSERT INTO url(direccion,idFemicidio) VALUES (' http://www.cooperativa.cl/noticias/pais/policial/femicidio/nuevo-femicidio-hombre-confeso-haber-asesinado-a-su-esposa-en-coronel/2016-11-15/173927.html ',' EU2016ch42 '); </v>
      </c>
    </row>
    <row r="401" spans="1:3" ht="15.75" thickBot="1">
      <c r="A401" s="21" t="s">
        <v>934</v>
      </c>
      <c r="B401" s="3" t="s">
        <v>380</v>
      </c>
      <c r="C401" t="str">
        <f t="shared" si="6"/>
        <v xml:space="preserve">INSERT INTO url(direccion,idFemicidio) VALUES (' https://www.elespectador.com/noticias/elmundo/mujer-de-54-anos-victima-numero-31-de-feminicidio-chile-articulo-665714 ',' EU2016ch42 '); </v>
      </c>
    </row>
    <row r="402" spans="1:3" ht="15.75" thickBot="1">
      <c r="A402" s="21" t="s">
        <v>934</v>
      </c>
      <c r="B402" s="3" t="s">
        <v>381</v>
      </c>
      <c r="C402" t="str">
        <f t="shared" si="6"/>
        <v xml:space="preserve">INSERT INTO url(direccion,idFemicidio) VALUES (' https://www.elciudadano.cl/chile/profesora-de-55-anos-fue-victima-de-femicidio-en-coronel/11/16/ ',' EU2016ch42 '); </v>
      </c>
    </row>
    <row r="403" spans="1:3" ht="30.75" thickBot="1">
      <c r="A403" s="21" t="s">
        <v>935</v>
      </c>
      <c r="B403" s="3" t="s">
        <v>382</v>
      </c>
      <c r="C403" t="str">
        <f t="shared" si="6"/>
        <v xml:space="preserve">INSERT INTO url(direccion,idFemicidio) VALUES (' http://www.eldesconcierto.cl/2016/11/22/dos-nuevos-femicidios-en-calama-y-nunoa-elevan-a-50-las-victimas-durante-2016/ ',' MB2016ch43 '); </v>
      </c>
    </row>
    <row r="404" spans="1:3" ht="30.75" thickBot="1">
      <c r="A404" s="21" t="s">
        <v>935</v>
      </c>
      <c r="B404" s="3" t="s">
        <v>383</v>
      </c>
      <c r="C404" t="str">
        <f t="shared" si="6"/>
        <v xml:space="preserve">INSERT INTO url(direccion,idFemicidio) VALUES (' http://www.soychile.cl/Calama/Policial/2016/11/23/431387/Femicidio-en-Calama-Mariela-Bolvaran-la-segunda-victima-de-violencia-intrafamiliar-de-este-2016.aspx ',' MB2016ch43 '); </v>
      </c>
    </row>
    <row r="405" spans="1:3" ht="30.75" thickBot="1">
      <c r="A405" s="21" t="s">
        <v>935</v>
      </c>
      <c r="B405" s="3" t="s">
        <v>384</v>
      </c>
      <c r="C405" t="str">
        <f t="shared" si="6"/>
        <v xml:space="preserve">INSERT INTO url(direccion,idFemicidio) VALUES (' http://www.soychile.cl/Calama/Sociedad/2016/11/24/431526/Mariela-Bolvaran-fue-asesinada-horas-despues-de-titularse-como-maestra-de-cocina.aspx ',' MB2016ch43 '); </v>
      </c>
    </row>
    <row r="406" spans="1:3" ht="30.75" thickBot="1">
      <c r="A406" s="21" t="s">
        <v>935</v>
      </c>
      <c r="B406" s="3" t="s">
        <v>385</v>
      </c>
      <c r="C406" t="str">
        <f t="shared" si="6"/>
        <v xml:space="preserve">INSERT INTO url(direccion,idFemicidio) VALUES (' http://www.prodemu.cl/index.php/declaracion-publica-prodemu/ ',' MB2016ch43 '); </v>
      </c>
    </row>
    <row r="407" spans="1:3" ht="30.75" thickBot="1">
      <c r="A407" s="21" t="s">
        <v>935</v>
      </c>
      <c r="B407" s="3" t="s">
        <v>386</v>
      </c>
      <c r="C407" t="str">
        <f t="shared" si="6"/>
        <v xml:space="preserve">INSERT INTO url(direccion,idFemicidio) VALUES (' http://diarioelnortino.cl/tag/mariela-bolvaran/ ',' MB2016ch43 '); </v>
      </c>
    </row>
    <row r="408" spans="1:3" ht="30.75" thickBot="1">
      <c r="A408" s="21" t="s">
        <v>936</v>
      </c>
      <c r="B408" s="3" t="s">
        <v>387</v>
      </c>
      <c r="C408" t="str">
        <f t="shared" si="6"/>
        <v xml:space="preserve">INSERT INTO url(direccion,idFemicidio) VALUES (' http://losandes.com.ar/article/dos-argentinas-murieron-en-femicidios-en-un-mes-en-chile ',' MC2016ch44 '); </v>
      </c>
    </row>
    <row r="409" spans="1:3" ht="30.75" thickBot="1">
      <c r="A409" s="21" t="s">
        <v>936</v>
      </c>
      <c r="B409" s="3" t="s">
        <v>388</v>
      </c>
      <c r="C409" t="str">
        <f t="shared" si="6"/>
        <v xml:space="preserve">INSERT INTO url(direccion,idFemicidio) VALUES (' http://www.biobiochile.cl/noticias/nacional/region-metropolitana/2016/11/22/nuevo-femicidio-en-nunoa-hombre-de-85-anos-acuchillo-a-su-mujer-de-78.shtml ',' MC2016ch44 '); </v>
      </c>
    </row>
    <row r="410" spans="1:3" ht="15.75" thickBot="1">
      <c r="A410" s="6"/>
      <c r="B410" s="6"/>
    </row>
    <row r="411" spans="1:3" ht="15.75" thickBot="1">
      <c r="A411" s="6"/>
      <c r="B411" s="6"/>
    </row>
    <row r="412" spans="1:3" ht="15.75" thickBot="1">
      <c r="A412" s="6"/>
      <c r="B412" s="6"/>
    </row>
    <row r="413" spans="1:3" ht="15.75" thickBot="1">
      <c r="A413" s="6"/>
      <c r="B413" s="6"/>
    </row>
    <row r="414" spans="1:3" ht="15.75" thickBot="1">
      <c r="A414" s="6"/>
      <c r="B414" s="6"/>
    </row>
    <row r="415" spans="1:3" ht="15.75" thickBot="1">
      <c r="A415" s="6"/>
      <c r="B415" s="6"/>
    </row>
    <row r="416" spans="1:3" ht="15.75" thickBot="1">
      <c r="A416" s="6"/>
      <c r="B416" s="6"/>
    </row>
    <row r="417" spans="1:2" ht="15.75" thickBot="1">
      <c r="A417" s="6"/>
      <c r="B417" s="6"/>
    </row>
    <row r="418" spans="1:2" ht="15.75" thickBot="1">
      <c r="A418" s="6"/>
      <c r="B418" s="6"/>
    </row>
    <row r="419" spans="1:2" ht="15.75" thickBot="1">
      <c r="A419" s="6"/>
      <c r="B419" s="6"/>
    </row>
    <row r="420" spans="1:2" ht="15.75" thickBot="1">
      <c r="A420" s="6"/>
      <c r="B420" s="6"/>
    </row>
    <row r="421" spans="1:2" ht="15.75" thickBot="1">
      <c r="A421" s="6"/>
      <c r="B421" s="6"/>
    </row>
    <row r="422" spans="1:2" ht="15.75" thickBot="1">
      <c r="A422" s="6"/>
      <c r="B422" s="6"/>
    </row>
    <row r="423" spans="1:2" ht="15.75" thickBot="1">
      <c r="A423" s="6"/>
      <c r="B423" s="6"/>
    </row>
    <row r="424" spans="1:2" ht="15.75" thickBot="1">
      <c r="A424" s="6"/>
      <c r="B424" s="6"/>
    </row>
    <row r="425" spans="1:2" ht="15.75" thickBot="1">
      <c r="A425" s="6"/>
      <c r="B425" s="6"/>
    </row>
    <row r="426" spans="1:2" ht="15.75" thickBot="1">
      <c r="A426" s="6"/>
      <c r="B426" s="6"/>
    </row>
    <row r="427" spans="1:2" ht="15.75" thickBot="1">
      <c r="A427" s="6"/>
      <c r="B427" s="6"/>
    </row>
    <row r="428" spans="1:2" ht="15.75" thickBot="1">
      <c r="A428" s="6"/>
      <c r="B428" s="6"/>
    </row>
    <row r="429" spans="1:2" ht="15.75" thickBot="1">
      <c r="A429" s="6"/>
      <c r="B429" s="6"/>
    </row>
    <row r="430" spans="1:2" ht="15.75" thickBot="1">
      <c r="A430" s="6"/>
      <c r="B430" s="6"/>
    </row>
    <row r="431" spans="1:2" ht="15.75" thickBot="1">
      <c r="A431" s="6"/>
      <c r="B431" s="6"/>
    </row>
    <row r="432" spans="1:2" ht="15.75" thickBot="1">
      <c r="A432" s="6"/>
      <c r="B432" s="6"/>
    </row>
    <row r="433" spans="1:2" ht="15.75" thickBot="1">
      <c r="A433" s="6"/>
      <c r="B433" s="6"/>
    </row>
    <row r="434" spans="1:2" ht="15.75" thickBot="1">
      <c r="A434" s="6"/>
      <c r="B434" s="6"/>
    </row>
    <row r="435" spans="1:2" ht="15.75" thickBot="1">
      <c r="A435" s="6"/>
      <c r="B435" s="6"/>
    </row>
    <row r="436" spans="1:2" ht="15.75" thickBot="1">
      <c r="A436" s="6"/>
      <c r="B436" s="6"/>
    </row>
    <row r="437" spans="1:2" ht="15.75" thickBot="1">
      <c r="A437" s="6"/>
      <c r="B437" s="6"/>
    </row>
    <row r="438" spans="1:2" ht="15.75" thickBot="1">
      <c r="A438" s="6"/>
      <c r="B438" s="6"/>
    </row>
    <row r="439" spans="1:2" ht="15.75" thickBot="1">
      <c r="A439" s="6"/>
      <c r="B439" s="6"/>
    </row>
    <row r="440" spans="1:2" ht="15.75" thickBot="1">
      <c r="A440" s="6"/>
      <c r="B440" s="6"/>
    </row>
    <row r="441" spans="1:2" ht="15.75" thickBot="1">
      <c r="A441" s="6"/>
      <c r="B441" s="6"/>
    </row>
    <row r="442" spans="1:2" ht="15.75" thickBot="1">
      <c r="A442" s="6"/>
      <c r="B442" s="6"/>
    </row>
    <row r="443" spans="1:2" ht="15.75" thickBot="1">
      <c r="A443" s="6"/>
      <c r="B443" s="6"/>
    </row>
    <row r="444" spans="1:2" ht="15.75" thickBot="1">
      <c r="A444" s="6"/>
      <c r="B444" s="6"/>
    </row>
    <row r="445" spans="1:2" ht="15.75" thickBot="1">
      <c r="A445" s="6"/>
      <c r="B445" s="6"/>
    </row>
    <row r="446" spans="1:2" ht="15.75" thickBot="1">
      <c r="A446" s="6"/>
      <c r="B446" s="6"/>
    </row>
    <row r="447" spans="1:2" ht="15.75" thickBot="1">
      <c r="A447" s="6"/>
      <c r="B447" s="6"/>
    </row>
    <row r="448" spans="1:2" ht="15.75" thickBot="1">
      <c r="A448" s="6"/>
      <c r="B448" s="6"/>
    </row>
    <row r="449" spans="1:2" ht="15.75" thickBot="1">
      <c r="A449" s="6"/>
      <c r="B449" s="6"/>
    </row>
    <row r="450" spans="1:2" ht="15.75" thickBot="1">
      <c r="A450" s="6"/>
      <c r="B450" s="6"/>
    </row>
    <row r="451" spans="1:2" ht="15.75" thickBot="1">
      <c r="A451" s="6"/>
      <c r="B451" s="6"/>
    </row>
    <row r="452" spans="1:2" ht="15.75" thickBot="1">
      <c r="A452" s="6"/>
      <c r="B452" s="6"/>
    </row>
    <row r="453" spans="1:2" ht="15.75" thickBot="1">
      <c r="A453" s="6"/>
      <c r="B453" s="6"/>
    </row>
    <row r="454" spans="1:2" ht="15.75" thickBot="1">
      <c r="A454" s="6"/>
      <c r="B454" s="6"/>
    </row>
    <row r="455" spans="1:2" ht="15.75" thickBot="1">
      <c r="A455" s="6"/>
      <c r="B455" s="6"/>
    </row>
    <row r="456" spans="1:2" ht="15.75" thickBot="1">
      <c r="A456" s="6"/>
      <c r="B456" s="6"/>
    </row>
    <row r="457" spans="1:2" ht="15.75" thickBot="1">
      <c r="A457" s="6"/>
      <c r="B457" s="6"/>
    </row>
    <row r="458" spans="1:2" ht="15.75" thickBot="1">
      <c r="A458" s="6"/>
      <c r="B458" s="6"/>
    </row>
    <row r="459" spans="1:2" ht="15.75" thickBot="1">
      <c r="A459" s="6"/>
      <c r="B459" s="6"/>
    </row>
    <row r="460" spans="1:2" ht="15.75" thickBot="1">
      <c r="A460" s="6"/>
      <c r="B460" s="6"/>
    </row>
    <row r="461" spans="1:2" ht="15.75" thickBot="1">
      <c r="A461" s="6"/>
      <c r="B461" s="6"/>
    </row>
    <row r="462" spans="1:2" ht="15.75" thickBot="1">
      <c r="A462" s="6"/>
      <c r="B462" s="6"/>
    </row>
    <row r="463" spans="1:2" ht="15.75" thickBot="1">
      <c r="A463" s="6"/>
      <c r="B463" s="6"/>
    </row>
    <row r="464" spans="1:2" ht="15.75" thickBot="1">
      <c r="A464" s="6"/>
      <c r="B464" s="6"/>
    </row>
    <row r="465" spans="1:2" ht="15.75" thickBot="1">
      <c r="A465" s="6"/>
      <c r="B465" s="6"/>
    </row>
    <row r="466" spans="1:2" ht="15.75" thickBot="1">
      <c r="A466" s="6"/>
      <c r="B466" s="6"/>
    </row>
    <row r="467" spans="1:2" ht="15.75" thickBot="1">
      <c r="A467" s="6"/>
      <c r="B467" s="6"/>
    </row>
    <row r="468" spans="1:2" ht="15.75" thickBot="1">
      <c r="A468" s="6"/>
      <c r="B468" s="6"/>
    </row>
    <row r="469" spans="1:2" ht="15.75" thickBot="1">
      <c r="A469" s="6"/>
      <c r="B469" s="6"/>
    </row>
    <row r="470" spans="1:2" ht="15.75" thickBot="1">
      <c r="A470" s="6"/>
      <c r="B470" s="6"/>
    </row>
    <row r="471" spans="1:2" ht="15.75" thickBot="1">
      <c r="A471" s="6"/>
      <c r="B471" s="6"/>
    </row>
    <row r="472" spans="1:2" ht="15.75" thickBot="1">
      <c r="A472" s="6"/>
      <c r="B472" s="6"/>
    </row>
    <row r="473" spans="1:2" ht="15.75" thickBot="1">
      <c r="A473" s="6"/>
      <c r="B473" s="6"/>
    </row>
    <row r="474" spans="1:2" ht="15.75" thickBot="1">
      <c r="A474" s="6"/>
      <c r="B474" s="6"/>
    </row>
    <row r="475" spans="1:2" ht="15.75" thickBot="1">
      <c r="A475" s="6"/>
      <c r="B475" s="6"/>
    </row>
    <row r="476" spans="1:2" ht="15.75" thickBot="1">
      <c r="A476" s="6"/>
      <c r="B476" s="6"/>
    </row>
    <row r="477" spans="1:2" ht="15.75" thickBot="1">
      <c r="A477" s="6"/>
      <c r="B477" s="6"/>
    </row>
    <row r="478" spans="1:2" ht="15.75" thickBot="1">
      <c r="A478" s="6"/>
      <c r="B478" s="6"/>
    </row>
    <row r="479" spans="1:2" ht="15.75" thickBot="1">
      <c r="A479" s="6"/>
      <c r="B479" s="6"/>
    </row>
    <row r="480" spans="1:2" ht="15.75" thickBot="1">
      <c r="A480" s="6"/>
      <c r="B480" s="6"/>
    </row>
    <row r="481" spans="1:2" ht="15.75" thickBot="1">
      <c r="A481" s="6"/>
      <c r="B481" s="6"/>
    </row>
    <row r="482" spans="1:2" ht="15.75" thickBot="1">
      <c r="A482" s="6"/>
      <c r="B482" s="6"/>
    </row>
    <row r="483" spans="1:2" ht="15.75" thickBot="1">
      <c r="A483" s="6"/>
      <c r="B483" s="6"/>
    </row>
    <row r="484" spans="1:2" ht="15.75" thickBot="1">
      <c r="A484" s="6"/>
      <c r="B484" s="6"/>
    </row>
    <row r="485" spans="1:2" ht="15.75" thickBot="1">
      <c r="A485" s="6"/>
      <c r="B485" s="6"/>
    </row>
    <row r="486" spans="1:2" ht="15.75" thickBot="1">
      <c r="A486" s="6"/>
      <c r="B486" s="6"/>
    </row>
    <row r="487" spans="1:2" ht="15.75" thickBot="1">
      <c r="A487" s="6"/>
      <c r="B487" s="6"/>
    </row>
    <row r="488" spans="1:2" ht="15.75" thickBot="1">
      <c r="A488" s="6"/>
      <c r="B488" s="6"/>
    </row>
    <row r="489" spans="1:2" ht="15.75" thickBot="1">
      <c r="A489" s="6"/>
      <c r="B489" s="6"/>
    </row>
    <row r="490" spans="1:2" ht="15.75" thickBot="1">
      <c r="A490" s="6"/>
      <c r="B490" s="6"/>
    </row>
    <row r="491" spans="1:2" ht="15.75" thickBot="1">
      <c r="A491" s="6"/>
      <c r="B491" s="6"/>
    </row>
    <row r="492" spans="1:2" ht="15.75" thickBot="1">
      <c r="A492" s="6"/>
      <c r="B492" s="6"/>
    </row>
    <row r="493" spans="1:2" ht="15.75" thickBot="1">
      <c r="A493" s="6"/>
      <c r="B493" s="6"/>
    </row>
    <row r="494" spans="1:2" ht="15.75" thickBot="1">
      <c r="A494" s="6"/>
      <c r="B494" s="6"/>
    </row>
    <row r="495" spans="1:2" ht="15.75" thickBot="1">
      <c r="A495" s="6"/>
      <c r="B495" s="6"/>
    </row>
    <row r="496" spans="1:2" ht="15.75" thickBot="1">
      <c r="A496" s="6"/>
      <c r="B496" s="6"/>
    </row>
    <row r="497" spans="1:2" ht="15.75" thickBot="1">
      <c r="A497" s="6"/>
      <c r="B497" s="6"/>
    </row>
    <row r="498" spans="1:2" ht="15.75" thickBot="1">
      <c r="A498" s="6"/>
      <c r="B498" s="6"/>
    </row>
    <row r="499" spans="1:2" ht="15.75" thickBot="1">
      <c r="A499" s="6"/>
      <c r="B499" s="6"/>
    </row>
    <row r="500" spans="1:2" ht="15.75" thickBot="1">
      <c r="A500" s="6"/>
      <c r="B500" s="6"/>
    </row>
    <row r="501" spans="1:2" ht="15.75" thickBot="1">
      <c r="A501" s="6"/>
      <c r="B501" s="6"/>
    </row>
    <row r="502" spans="1:2" ht="15.75" thickBot="1">
      <c r="A502" s="6"/>
      <c r="B502" s="6"/>
    </row>
    <row r="503" spans="1:2" ht="15.75" thickBot="1">
      <c r="A503" s="6"/>
      <c r="B503" s="6"/>
    </row>
    <row r="504" spans="1:2" ht="15.75" thickBot="1">
      <c r="A504" s="6"/>
      <c r="B504" s="6"/>
    </row>
    <row r="505" spans="1:2" ht="15.75" thickBot="1">
      <c r="A505" s="6"/>
      <c r="B505" s="6"/>
    </row>
    <row r="506" spans="1:2" ht="15.75" thickBot="1">
      <c r="A506" s="6"/>
      <c r="B506" s="6"/>
    </row>
    <row r="507" spans="1:2" ht="15.75" thickBot="1">
      <c r="A507" s="6"/>
      <c r="B507" s="6"/>
    </row>
    <row r="508" spans="1:2" ht="15.75" thickBot="1">
      <c r="A508" s="6"/>
      <c r="B508" s="6"/>
    </row>
    <row r="509" spans="1:2" ht="15.75" thickBot="1">
      <c r="A509" s="6"/>
      <c r="B509" s="6"/>
    </row>
    <row r="510" spans="1:2" ht="15.75" thickBot="1">
      <c r="A510" s="6"/>
      <c r="B510" s="6"/>
    </row>
    <row r="511" spans="1:2" ht="15.75" thickBot="1">
      <c r="A511" s="6"/>
      <c r="B511" s="6"/>
    </row>
    <row r="512" spans="1:2" ht="15.75" thickBot="1">
      <c r="A512" s="6"/>
      <c r="B512" s="6"/>
    </row>
    <row r="513" spans="1:2" ht="15.75" thickBot="1">
      <c r="A513" s="6"/>
      <c r="B513" s="6"/>
    </row>
    <row r="514" spans="1:2" ht="15.75" thickBot="1">
      <c r="A514" s="6"/>
      <c r="B514" s="6"/>
    </row>
    <row r="515" spans="1:2" ht="15.75" thickBot="1">
      <c r="A515" s="6"/>
      <c r="B515" s="6"/>
    </row>
    <row r="516" spans="1:2" ht="15.75" thickBot="1">
      <c r="A516" s="6"/>
      <c r="B516" s="6"/>
    </row>
    <row r="517" spans="1:2" ht="15.75" thickBot="1">
      <c r="A517" s="6"/>
      <c r="B517" s="6"/>
    </row>
    <row r="518" spans="1:2" ht="15.75" thickBot="1">
      <c r="A518" s="6"/>
      <c r="B518" s="6"/>
    </row>
    <row r="519" spans="1:2" ht="15.75" thickBot="1">
      <c r="A519" s="6"/>
      <c r="B519" s="6"/>
    </row>
    <row r="520" spans="1:2" ht="15.75" thickBot="1">
      <c r="A520" s="6"/>
      <c r="B520" s="6"/>
    </row>
    <row r="521" spans="1:2" ht="15.75" thickBot="1">
      <c r="A521" s="6"/>
      <c r="B521" s="6"/>
    </row>
    <row r="522" spans="1:2" ht="15.75" thickBot="1">
      <c r="A522" s="6"/>
      <c r="B522" s="6"/>
    </row>
    <row r="523" spans="1:2" ht="15.75" thickBot="1">
      <c r="A523" s="6"/>
      <c r="B523" s="6"/>
    </row>
    <row r="524" spans="1:2" ht="15.75" thickBot="1">
      <c r="A524" s="6"/>
      <c r="B524" s="6"/>
    </row>
    <row r="525" spans="1:2" ht="15.75" thickBot="1">
      <c r="A525" s="6"/>
      <c r="B525" s="6"/>
    </row>
    <row r="526" spans="1:2" ht="15.75" thickBot="1">
      <c r="A526" s="6"/>
      <c r="B526" s="6"/>
    </row>
    <row r="527" spans="1:2" ht="15.75" thickBot="1">
      <c r="A527" s="6"/>
      <c r="B527" s="6"/>
    </row>
    <row r="528" spans="1:2" ht="15.75" thickBot="1">
      <c r="A528" s="6"/>
      <c r="B528" s="6"/>
    </row>
    <row r="529" spans="1:2" ht="15.75" thickBot="1">
      <c r="A529" s="6"/>
      <c r="B529" s="6"/>
    </row>
    <row r="530" spans="1:2" ht="15.75" thickBot="1">
      <c r="A530" s="6"/>
      <c r="B530" s="6"/>
    </row>
    <row r="531" spans="1:2" ht="15.75" thickBot="1">
      <c r="A531" s="6"/>
      <c r="B531" s="6"/>
    </row>
    <row r="532" spans="1:2" ht="15.75" thickBot="1">
      <c r="A532" s="6"/>
      <c r="B532" s="6"/>
    </row>
    <row r="533" spans="1:2" ht="15.75" thickBot="1">
      <c r="A533" s="6"/>
      <c r="B533" s="6"/>
    </row>
    <row r="534" spans="1:2" ht="15.75" thickBot="1">
      <c r="A534" s="6"/>
      <c r="B534" s="6"/>
    </row>
    <row r="535" spans="1:2" ht="15.75" thickBot="1">
      <c r="A535" s="6"/>
      <c r="B535" s="6"/>
    </row>
    <row r="536" spans="1:2" ht="15.75" thickBot="1">
      <c r="A536" s="6"/>
      <c r="B536" s="6"/>
    </row>
    <row r="537" spans="1:2" ht="15.75" thickBot="1">
      <c r="A537" s="6"/>
      <c r="B537" s="6"/>
    </row>
    <row r="538" spans="1:2" ht="15.75" thickBot="1">
      <c r="A538" s="6"/>
      <c r="B538" s="6"/>
    </row>
    <row r="539" spans="1:2" ht="15.75" thickBot="1">
      <c r="A539" s="6"/>
      <c r="B539" s="6"/>
    </row>
    <row r="540" spans="1:2" ht="15.75" thickBot="1">
      <c r="A540" s="6"/>
      <c r="B540" s="6"/>
    </row>
    <row r="541" spans="1:2" ht="15.75" thickBot="1">
      <c r="A541" s="6"/>
      <c r="B541" s="6"/>
    </row>
    <row r="542" spans="1:2" ht="15.75" thickBot="1">
      <c r="A542" s="6"/>
      <c r="B542" s="6"/>
    </row>
    <row r="543" spans="1:2" ht="15.75" thickBot="1">
      <c r="A543" s="6"/>
      <c r="B543" s="6"/>
    </row>
    <row r="544" spans="1:2" ht="15.75" thickBot="1">
      <c r="A544" s="6"/>
      <c r="B544" s="6"/>
    </row>
    <row r="545" spans="1:2" ht="15.75" thickBot="1">
      <c r="A545" s="6"/>
      <c r="B545" s="6"/>
    </row>
    <row r="546" spans="1:2" ht="15.75" thickBot="1">
      <c r="A546" s="6"/>
      <c r="B546" s="6"/>
    </row>
    <row r="547" spans="1:2" ht="15.75" thickBot="1">
      <c r="A547" s="6"/>
      <c r="B547" s="6"/>
    </row>
    <row r="548" spans="1:2" ht="15.75" thickBot="1">
      <c r="A548" s="6"/>
      <c r="B548" s="6"/>
    </row>
    <row r="549" spans="1:2" ht="15.75" thickBot="1">
      <c r="A549" s="6"/>
      <c r="B549" s="6"/>
    </row>
    <row r="550" spans="1:2" ht="15.75" thickBot="1">
      <c r="A550" s="6"/>
      <c r="B550" s="6"/>
    </row>
    <row r="551" spans="1:2" ht="15.75" thickBot="1">
      <c r="A551" s="6"/>
      <c r="B551" s="6"/>
    </row>
    <row r="552" spans="1:2" ht="15.75" thickBot="1">
      <c r="A552" s="6"/>
      <c r="B552" s="6"/>
    </row>
    <row r="553" spans="1:2" ht="15.75" thickBot="1">
      <c r="A553" s="6"/>
      <c r="B553" s="6"/>
    </row>
    <row r="554" spans="1:2" ht="15.75" thickBot="1">
      <c r="A554" s="6"/>
      <c r="B554" s="6"/>
    </row>
    <row r="555" spans="1:2" ht="15.75" thickBot="1">
      <c r="A555" s="6"/>
      <c r="B555" s="6"/>
    </row>
    <row r="556" spans="1:2" ht="15.75" thickBot="1">
      <c r="A556" s="6"/>
      <c r="B556" s="6"/>
    </row>
    <row r="557" spans="1:2" ht="15.75" thickBot="1">
      <c r="A557" s="6"/>
      <c r="B557" s="6"/>
    </row>
    <row r="558" spans="1:2" ht="15.75" thickBot="1">
      <c r="A558" s="6"/>
      <c r="B558" s="6"/>
    </row>
    <row r="559" spans="1:2" ht="15.75" thickBot="1">
      <c r="A559" s="6"/>
      <c r="B559" s="6"/>
    </row>
    <row r="560" spans="1:2" ht="15.75" thickBot="1">
      <c r="A560" s="6"/>
      <c r="B560" s="6"/>
    </row>
    <row r="561" spans="1:2" ht="15.75" thickBot="1">
      <c r="A561" s="6"/>
      <c r="B561" s="6"/>
    </row>
    <row r="562" spans="1:2" ht="15.75" thickBot="1">
      <c r="A562" s="6"/>
      <c r="B562" s="6"/>
    </row>
    <row r="563" spans="1:2" ht="15.75" thickBot="1">
      <c r="A563" s="6"/>
      <c r="B563" s="6"/>
    </row>
    <row r="564" spans="1:2" ht="15.75" thickBot="1">
      <c r="A564" s="6"/>
      <c r="B564" s="6"/>
    </row>
    <row r="565" spans="1:2" ht="15.75" thickBot="1">
      <c r="A565" s="6"/>
      <c r="B565" s="6"/>
    </row>
    <row r="566" spans="1:2" ht="15.75" thickBot="1">
      <c r="A566" s="6"/>
      <c r="B566" s="6"/>
    </row>
    <row r="567" spans="1:2" ht="15.75" thickBot="1">
      <c r="A567" s="6"/>
      <c r="B567" s="6"/>
    </row>
    <row r="568" spans="1:2" ht="15.75" thickBot="1">
      <c r="A568" s="6"/>
      <c r="B568" s="6"/>
    </row>
    <row r="569" spans="1:2" ht="15.75" thickBot="1">
      <c r="A569" s="6"/>
      <c r="B569" s="6"/>
    </row>
    <row r="570" spans="1:2" ht="15.75" thickBot="1">
      <c r="A570" s="6"/>
      <c r="B570" s="6"/>
    </row>
    <row r="571" spans="1:2" ht="15.75" thickBot="1">
      <c r="A571" s="6"/>
      <c r="B571" s="6"/>
    </row>
    <row r="572" spans="1:2" ht="15.75" thickBot="1">
      <c r="A572" s="6"/>
      <c r="B572" s="6"/>
    </row>
    <row r="573" spans="1:2" ht="15.75" thickBot="1">
      <c r="A573" s="6"/>
      <c r="B573" s="6"/>
    </row>
    <row r="574" spans="1:2" ht="15.75" thickBot="1">
      <c r="A574" s="6"/>
      <c r="B574" s="6"/>
    </row>
    <row r="575" spans="1:2" ht="15.75" thickBot="1">
      <c r="A575" s="6"/>
      <c r="B575" s="6"/>
    </row>
    <row r="576" spans="1:2" ht="15.75" thickBot="1">
      <c r="A576" s="6"/>
      <c r="B576" s="6"/>
    </row>
    <row r="577" spans="1:2" ht="15.75" thickBot="1">
      <c r="A577" s="6"/>
      <c r="B577" s="6"/>
    </row>
    <row r="578" spans="1:2" ht="15.75" thickBot="1">
      <c r="A578" s="6"/>
      <c r="B578" s="6"/>
    </row>
    <row r="579" spans="1:2" ht="15.75" thickBot="1">
      <c r="A579" s="6"/>
      <c r="B579" s="6"/>
    </row>
    <row r="580" spans="1:2" ht="15.75" thickBot="1">
      <c r="A580" s="6"/>
      <c r="B580" s="6"/>
    </row>
    <row r="581" spans="1:2" ht="15.75" thickBot="1">
      <c r="A581" s="6"/>
      <c r="B581" s="6"/>
    </row>
    <row r="582" spans="1:2" ht="15.75" thickBot="1">
      <c r="A582" s="6"/>
      <c r="B582" s="6"/>
    </row>
    <row r="583" spans="1:2" ht="15.75" thickBot="1">
      <c r="A583" s="6"/>
      <c r="B583" s="6"/>
    </row>
    <row r="584" spans="1:2" ht="15.75" thickBot="1">
      <c r="A584" s="6"/>
      <c r="B584" s="6"/>
    </row>
    <row r="585" spans="1:2" ht="15.75" thickBot="1">
      <c r="A585" s="6"/>
      <c r="B585" s="6"/>
    </row>
    <row r="586" spans="1:2" ht="15.75" thickBot="1">
      <c r="A586" s="6"/>
      <c r="B586" s="6"/>
    </row>
    <row r="587" spans="1:2" ht="15.75" thickBot="1">
      <c r="A587" s="6"/>
      <c r="B587" s="6"/>
    </row>
    <row r="588" spans="1:2" ht="15.75" thickBot="1">
      <c r="A588" s="6"/>
      <c r="B588" s="6"/>
    </row>
    <row r="589" spans="1:2" ht="15.75" thickBot="1">
      <c r="A589" s="6"/>
      <c r="B589" s="6"/>
    </row>
    <row r="590" spans="1:2" ht="15.75" thickBot="1">
      <c r="A590" s="6"/>
      <c r="B590" s="6"/>
    </row>
    <row r="591" spans="1:2" ht="15.75" thickBot="1">
      <c r="A591" s="6"/>
      <c r="B591" s="6"/>
    </row>
    <row r="592" spans="1:2" ht="15.75" thickBot="1">
      <c r="A592" s="6"/>
      <c r="B592" s="6"/>
    </row>
    <row r="593" spans="1:2" ht="15.75" thickBot="1">
      <c r="A593" s="6"/>
      <c r="B593" s="6"/>
    </row>
    <row r="594" spans="1:2" ht="15.75" thickBot="1">
      <c r="A594" s="6"/>
      <c r="B594" s="6"/>
    </row>
    <row r="595" spans="1:2" ht="15.75" thickBot="1">
      <c r="A595" s="6"/>
      <c r="B595" s="6"/>
    </row>
    <row r="596" spans="1:2" ht="15.75" thickBot="1">
      <c r="A596" s="6"/>
      <c r="B596" s="6"/>
    </row>
    <row r="597" spans="1:2" ht="15.75" thickBot="1">
      <c r="A597" s="6"/>
      <c r="B597" s="6"/>
    </row>
    <row r="598" spans="1:2" ht="15.75" thickBot="1">
      <c r="A598" s="6"/>
      <c r="B598" s="6"/>
    </row>
    <row r="599" spans="1:2" ht="15.75" thickBot="1">
      <c r="A599" s="6"/>
      <c r="B599" s="6"/>
    </row>
    <row r="600" spans="1:2" ht="15.75" thickBot="1">
      <c r="A600" s="6"/>
      <c r="B600" s="6"/>
    </row>
    <row r="601" spans="1:2" ht="15.75" thickBot="1">
      <c r="A601" s="6"/>
      <c r="B601" s="6"/>
    </row>
    <row r="602" spans="1:2" ht="15.75" thickBot="1">
      <c r="A602" s="6"/>
      <c r="B602" s="6"/>
    </row>
    <row r="603" spans="1:2" ht="15.75" thickBot="1">
      <c r="A603" s="6"/>
      <c r="B603" s="6"/>
    </row>
    <row r="604" spans="1:2" ht="15.75" thickBot="1">
      <c r="A604" s="6"/>
      <c r="B604" s="6"/>
    </row>
    <row r="605" spans="1:2" ht="15.75" thickBot="1">
      <c r="A605" s="6"/>
      <c r="B605" s="6"/>
    </row>
    <row r="606" spans="1:2" ht="15.75" thickBot="1">
      <c r="A606" s="6"/>
      <c r="B606" s="6"/>
    </row>
    <row r="607" spans="1:2" ht="15.75" thickBot="1">
      <c r="A607" s="6"/>
      <c r="B607" s="6"/>
    </row>
    <row r="608" spans="1:2" ht="15.75" thickBot="1">
      <c r="A608" s="6"/>
      <c r="B608" s="6"/>
    </row>
    <row r="609" spans="1:2" ht="15.75" thickBot="1">
      <c r="A609" s="6"/>
      <c r="B609" s="6"/>
    </row>
    <row r="610" spans="1:2" ht="15.75" thickBot="1">
      <c r="A610" s="6"/>
      <c r="B610" s="6"/>
    </row>
    <row r="611" spans="1:2" ht="15.75" thickBot="1">
      <c r="A611" s="6"/>
      <c r="B611" s="6"/>
    </row>
    <row r="612" spans="1:2" ht="15.75" thickBot="1">
      <c r="A612" s="6"/>
      <c r="B612" s="6"/>
    </row>
    <row r="613" spans="1:2" ht="15.75" thickBot="1">
      <c r="A613" s="6"/>
      <c r="B613" s="6"/>
    </row>
    <row r="614" spans="1:2" ht="15.75" thickBot="1">
      <c r="A614" s="6"/>
      <c r="B614" s="6"/>
    </row>
    <row r="615" spans="1:2" ht="15.75" thickBot="1">
      <c r="A615" s="6"/>
      <c r="B615" s="6"/>
    </row>
    <row r="616" spans="1:2" ht="15.75" thickBot="1">
      <c r="A616" s="6"/>
      <c r="B616" s="6"/>
    </row>
    <row r="617" spans="1:2" ht="15.75" thickBot="1">
      <c r="A617" s="6"/>
      <c r="B617" s="6"/>
    </row>
    <row r="618" spans="1:2" ht="15.75" thickBot="1">
      <c r="A618" s="6"/>
      <c r="B618" s="6"/>
    </row>
    <row r="619" spans="1:2" ht="15.75" thickBot="1">
      <c r="A619" s="6"/>
      <c r="B619" s="6"/>
    </row>
    <row r="620" spans="1:2" ht="15.75" thickBot="1">
      <c r="A620" s="6"/>
      <c r="B620" s="6"/>
    </row>
    <row r="621" spans="1:2" ht="15.75" thickBot="1">
      <c r="A621" s="6"/>
      <c r="B621" s="6"/>
    </row>
    <row r="622" spans="1:2" ht="15.75" thickBot="1">
      <c r="A622" s="6"/>
      <c r="B622" s="6"/>
    </row>
    <row r="623" spans="1:2" ht="15.75" thickBot="1">
      <c r="A623" s="6"/>
      <c r="B623" s="6"/>
    </row>
    <row r="624" spans="1:2" ht="15.75" thickBot="1">
      <c r="A624" s="6"/>
      <c r="B624" s="6"/>
    </row>
    <row r="625" spans="1:2" ht="15.75" thickBot="1">
      <c r="A625" s="6"/>
      <c r="B625" s="6"/>
    </row>
    <row r="626" spans="1:2" ht="15.75" thickBot="1">
      <c r="A626" s="6"/>
      <c r="B626" s="6"/>
    </row>
    <row r="627" spans="1:2" ht="15.75" thickBot="1">
      <c r="A627" s="6"/>
      <c r="B627" s="6"/>
    </row>
    <row r="628" spans="1:2" ht="15.75" thickBot="1">
      <c r="A628" s="6"/>
      <c r="B628" s="6"/>
    </row>
    <row r="629" spans="1:2" ht="15.75" thickBot="1">
      <c r="A629" s="6"/>
      <c r="B629" s="6"/>
    </row>
    <row r="630" spans="1:2" ht="15.75" thickBot="1">
      <c r="A630" s="6"/>
      <c r="B630" s="6"/>
    </row>
    <row r="631" spans="1:2" ht="15.75" thickBot="1">
      <c r="A631" s="6"/>
      <c r="B631" s="6"/>
    </row>
    <row r="632" spans="1:2" ht="15.75" thickBot="1">
      <c r="A632" s="6"/>
      <c r="B632" s="6"/>
    </row>
    <row r="633" spans="1:2" ht="15.75" thickBot="1">
      <c r="A633" s="6"/>
      <c r="B633" s="6"/>
    </row>
    <row r="634" spans="1:2" ht="15.75" thickBot="1">
      <c r="A634" s="6"/>
      <c r="B634" s="6"/>
    </row>
    <row r="635" spans="1:2" ht="15.75" thickBot="1">
      <c r="A635" s="6"/>
      <c r="B635" s="6"/>
    </row>
    <row r="636" spans="1:2" ht="15.75" thickBot="1">
      <c r="A636" s="6"/>
      <c r="B636" s="6"/>
    </row>
    <row r="637" spans="1:2" ht="15.75" thickBot="1">
      <c r="A637" s="6"/>
      <c r="B637" s="6"/>
    </row>
    <row r="638" spans="1:2" ht="15.75" thickBot="1">
      <c r="A638" s="6"/>
      <c r="B638" s="6"/>
    </row>
    <row r="639" spans="1:2" ht="15.75" thickBot="1">
      <c r="A639" s="6"/>
      <c r="B639" s="6"/>
    </row>
    <row r="640" spans="1:2" ht="15.75" thickBot="1">
      <c r="A640" s="6"/>
      <c r="B640" s="6"/>
    </row>
    <row r="641" spans="1:2" ht="15.75" thickBot="1">
      <c r="A641" s="6"/>
      <c r="B641" s="6"/>
    </row>
    <row r="642" spans="1:2" ht="15.75" thickBot="1">
      <c r="A642" s="6"/>
      <c r="B642" s="6"/>
    </row>
    <row r="643" spans="1:2" ht="15.75" thickBot="1">
      <c r="A643" s="6"/>
      <c r="B643" s="6"/>
    </row>
    <row r="644" spans="1:2" ht="15.75" thickBot="1">
      <c r="A644" s="6"/>
      <c r="B644" s="6"/>
    </row>
    <row r="645" spans="1:2" ht="15.75" thickBot="1">
      <c r="A645" s="6"/>
      <c r="B645" s="6"/>
    </row>
    <row r="646" spans="1:2" ht="15.75" thickBot="1">
      <c r="A646" s="6"/>
      <c r="B646" s="6"/>
    </row>
    <row r="647" spans="1:2" ht="15.75" thickBot="1">
      <c r="A647" s="6"/>
      <c r="B647" s="6"/>
    </row>
    <row r="648" spans="1:2" ht="15.75" thickBot="1">
      <c r="A648" s="6"/>
      <c r="B648" s="6"/>
    </row>
    <row r="649" spans="1:2" ht="15.75" thickBot="1">
      <c r="A649" s="6"/>
      <c r="B649" s="6"/>
    </row>
    <row r="650" spans="1:2" ht="15.75" thickBot="1">
      <c r="A650" s="6"/>
      <c r="B650" s="6"/>
    </row>
    <row r="651" spans="1:2" ht="15.75" thickBot="1">
      <c r="A651" s="6"/>
      <c r="B651" s="6"/>
    </row>
    <row r="652" spans="1:2" ht="15.75" thickBot="1">
      <c r="A652" s="6"/>
      <c r="B652" s="6"/>
    </row>
    <row r="653" spans="1:2" ht="15.75" thickBot="1">
      <c r="A653" s="6"/>
      <c r="B653" s="6"/>
    </row>
    <row r="654" spans="1:2" ht="15.75" thickBot="1">
      <c r="A654" s="6"/>
      <c r="B654" s="6"/>
    </row>
    <row r="655" spans="1:2" ht="15.75" thickBot="1">
      <c r="A655" s="6"/>
      <c r="B655" s="6"/>
    </row>
    <row r="656" spans="1:2" ht="15.75" thickBot="1">
      <c r="A656" s="6"/>
      <c r="B656" s="6"/>
    </row>
    <row r="657" spans="1:2" ht="15.75" thickBot="1">
      <c r="A657" s="6"/>
      <c r="B657" s="6"/>
    </row>
    <row r="658" spans="1:2" ht="15.75" thickBot="1">
      <c r="A658" s="6"/>
      <c r="B658" s="6"/>
    </row>
    <row r="659" spans="1:2" ht="15.75" thickBot="1">
      <c r="A659" s="6"/>
      <c r="B659" s="6"/>
    </row>
    <row r="660" spans="1:2" ht="15.75" thickBot="1">
      <c r="A660" s="6"/>
      <c r="B660" s="6"/>
    </row>
    <row r="661" spans="1:2" ht="15.75" thickBot="1">
      <c r="A661" s="6"/>
      <c r="B661" s="6"/>
    </row>
    <row r="662" spans="1:2" ht="15.75" thickBot="1">
      <c r="A662" s="6"/>
      <c r="B662" s="6"/>
    </row>
    <row r="663" spans="1:2" ht="15.75" thickBot="1">
      <c r="A663" s="6"/>
      <c r="B663" s="6"/>
    </row>
    <row r="664" spans="1:2" ht="15.75" thickBot="1">
      <c r="A664" s="6"/>
      <c r="B664" s="6"/>
    </row>
    <row r="665" spans="1:2" ht="15.75" thickBot="1">
      <c r="A665" s="6"/>
      <c r="B665" s="6"/>
    </row>
    <row r="666" spans="1:2" ht="15.75" thickBot="1">
      <c r="A666" s="6"/>
      <c r="B666" s="6"/>
    </row>
    <row r="667" spans="1:2" ht="15.75" thickBot="1">
      <c r="A667" s="6"/>
      <c r="B667" s="6"/>
    </row>
    <row r="668" spans="1:2" ht="15.75" thickBot="1">
      <c r="A668" s="6"/>
      <c r="B668" s="6"/>
    </row>
    <row r="669" spans="1:2" ht="15.75" thickBot="1">
      <c r="A669" s="6"/>
      <c r="B669" s="6"/>
    </row>
    <row r="670" spans="1:2" ht="15.75" thickBot="1">
      <c r="A670" s="6"/>
      <c r="B670" s="6"/>
    </row>
    <row r="671" spans="1:2" ht="15.75" thickBot="1">
      <c r="A671" s="6"/>
      <c r="B671" s="6"/>
    </row>
    <row r="672" spans="1:2" ht="15.75" thickBot="1">
      <c r="A672" s="6"/>
      <c r="B672" s="6"/>
    </row>
    <row r="673" spans="1:2" ht="15.75" thickBot="1">
      <c r="A673" s="6"/>
      <c r="B673" s="6"/>
    </row>
    <row r="674" spans="1:2" ht="15.75" thickBot="1">
      <c r="A674" s="6"/>
      <c r="B674" s="6"/>
    </row>
    <row r="675" spans="1:2" ht="15.75" thickBot="1">
      <c r="A675" s="6"/>
      <c r="B675" s="6"/>
    </row>
    <row r="676" spans="1:2" ht="15.75" thickBot="1">
      <c r="A676" s="6"/>
      <c r="B676" s="6"/>
    </row>
    <row r="677" spans="1:2" ht="15.75" thickBot="1">
      <c r="A677" s="6"/>
      <c r="B677" s="6"/>
    </row>
    <row r="678" spans="1:2" ht="15.75" thickBot="1">
      <c r="A678" s="6"/>
      <c r="B678" s="6"/>
    </row>
    <row r="679" spans="1:2" ht="15.75" thickBot="1">
      <c r="A679" s="6"/>
      <c r="B679" s="6"/>
    </row>
    <row r="680" spans="1:2" ht="15.75" thickBot="1">
      <c r="A680" s="6"/>
      <c r="B680" s="6"/>
    </row>
    <row r="681" spans="1:2" ht="15.75" thickBot="1">
      <c r="A681" s="6"/>
      <c r="B681" s="6"/>
    </row>
    <row r="682" spans="1:2" ht="15.75" thickBot="1">
      <c r="A682" s="6"/>
      <c r="B682" s="6"/>
    </row>
    <row r="683" spans="1:2" ht="15.75" thickBot="1">
      <c r="A683" s="6"/>
      <c r="B683" s="6"/>
    </row>
    <row r="684" spans="1:2" ht="15.75" thickBot="1">
      <c r="A684" s="6"/>
      <c r="B684" s="6"/>
    </row>
    <row r="685" spans="1:2" ht="15.75" thickBot="1">
      <c r="A685" s="6"/>
      <c r="B685" s="6"/>
    </row>
    <row r="686" spans="1:2" ht="15.75" thickBot="1">
      <c r="A686" s="6"/>
      <c r="B686" s="6"/>
    </row>
    <row r="687" spans="1:2" ht="15.75" thickBot="1">
      <c r="A687" s="6"/>
      <c r="B687" s="6"/>
    </row>
    <row r="688" spans="1:2" ht="15.75" thickBot="1">
      <c r="A688" s="6"/>
      <c r="B688" s="6"/>
    </row>
    <row r="689" spans="1:2" ht="15.75" thickBot="1">
      <c r="A689" s="6"/>
      <c r="B689" s="6"/>
    </row>
    <row r="690" spans="1:2" ht="15.75" thickBot="1">
      <c r="A690" s="6"/>
      <c r="B690" s="6"/>
    </row>
    <row r="691" spans="1:2" ht="15.75" thickBot="1">
      <c r="A691" s="6"/>
      <c r="B691" s="6"/>
    </row>
    <row r="692" spans="1:2" ht="15.75" thickBot="1">
      <c r="A692" s="6"/>
      <c r="B692" s="6"/>
    </row>
    <row r="693" spans="1:2" ht="15.75" thickBot="1">
      <c r="A693" s="6"/>
      <c r="B693" s="6"/>
    </row>
    <row r="694" spans="1:2" ht="15.75" thickBot="1">
      <c r="A694" s="6"/>
      <c r="B694" s="6"/>
    </row>
    <row r="695" spans="1:2" ht="15.75" thickBot="1">
      <c r="A695" s="6"/>
      <c r="B695" s="6"/>
    </row>
    <row r="696" spans="1:2" ht="15.75" thickBot="1">
      <c r="A696" s="6"/>
      <c r="B696" s="6"/>
    </row>
    <row r="697" spans="1:2" ht="15.75" thickBot="1">
      <c r="A697" s="6"/>
      <c r="B697" s="6"/>
    </row>
    <row r="698" spans="1:2" ht="15.75" thickBot="1">
      <c r="A698" s="6"/>
      <c r="B698" s="6"/>
    </row>
    <row r="699" spans="1:2" ht="15.75" thickBot="1">
      <c r="A699" s="6"/>
      <c r="B699" s="6"/>
    </row>
    <row r="700" spans="1:2" ht="15.75" thickBot="1">
      <c r="A700" s="6"/>
      <c r="B700" s="6"/>
    </row>
    <row r="701" spans="1:2" ht="15.75" thickBot="1">
      <c r="A701" s="6"/>
      <c r="B701" s="6"/>
    </row>
    <row r="702" spans="1:2" ht="15.75" thickBot="1">
      <c r="A702" s="6"/>
      <c r="B702" s="6"/>
    </row>
    <row r="703" spans="1:2" ht="15.75" thickBot="1">
      <c r="A703" s="6"/>
      <c r="B703" s="6"/>
    </row>
    <row r="704" spans="1:2" ht="15.75" thickBot="1">
      <c r="A704" s="6"/>
      <c r="B704" s="6"/>
    </row>
    <row r="705" spans="1:2" ht="15.75" thickBot="1">
      <c r="A705" s="6"/>
      <c r="B705" s="6"/>
    </row>
    <row r="706" spans="1:2" ht="15.75" thickBot="1">
      <c r="A706" s="6"/>
      <c r="B706" s="6"/>
    </row>
    <row r="707" spans="1:2" ht="15.75" thickBot="1">
      <c r="A707" s="6"/>
      <c r="B707" s="6"/>
    </row>
    <row r="708" spans="1:2" ht="15.75" thickBot="1">
      <c r="A708" s="6"/>
      <c r="B708" s="6"/>
    </row>
    <row r="709" spans="1:2" ht="15.75" thickBot="1">
      <c r="A709" s="6"/>
      <c r="B709" s="6"/>
    </row>
    <row r="710" spans="1:2" ht="15.75" thickBot="1">
      <c r="A710" s="6"/>
      <c r="B710" s="6"/>
    </row>
    <row r="711" spans="1:2" ht="15.75" thickBot="1">
      <c r="A711" s="6"/>
      <c r="B711" s="6"/>
    </row>
    <row r="712" spans="1:2" ht="15.75" thickBot="1">
      <c r="A712" s="6"/>
      <c r="B712" s="6"/>
    </row>
    <row r="713" spans="1:2" ht="15.75" thickBot="1">
      <c r="A713" s="6"/>
      <c r="B713" s="6"/>
    </row>
    <row r="714" spans="1:2" ht="15.75" thickBot="1">
      <c r="A714" s="6"/>
      <c r="B714" s="6"/>
    </row>
    <row r="715" spans="1:2" ht="15.75" thickBot="1">
      <c r="A715" s="6"/>
      <c r="B715" s="6"/>
    </row>
    <row r="716" spans="1:2" ht="15.75" thickBot="1">
      <c r="A716" s="6"/>
      <c r="B716" s="6"/>
    </row>
    <row r="717" spans="1:2" ht="15.75" thickBot="1">
      <c r="A717" s="6"/>
      <c r="B717" s="6"/>
    </row>
    <row r="718" spans="1:2" ht="15.75" thickBot="1">
      <c r="A718" s="6"/>
      <c r="B718" s="6"/>
    </row>
    <row r="719" spans="1:2" ht="15.75" thickBot="1">
      <c r="A719" s="6"/>
      <c r="B719" s="6"/>
    </row>
    <row r="720" spans="1:2" ht="15.75" thickBot="1">
      <c r="A720" s="6"/>
      <c r="B720" s="6"/>
    </row>
    <row r="721" spans="1:2" ht="15.75" thickBot="1">
      <c r="A721" s="6"/>
      <c r="B721" s="6"/>
    </row>
    <row r="722" spans="1:2" ht="15.75" thickBot="1">
      <c r="A722" s="6"/>
      <c r="B722" s="6"/>
    </row>
    <row r="723" spans="1:2" ht="15.75" thickBot="1">
      <c r="A723" s="6"/>
      <c r="B723" s="6"/>
    </row>
    <row r="724" spans="1:2" ht="15.75" thickBot="1">
      <c r="A724" s="6"/>
      <c r="B724" s="6"/>
    </row>
    <row r="725" spans="1:2" ht="15.75" thickBot="1">
      <c r="A725" s="6"/>
      <c r="B725" s="6"/>
    </row>
    <row r="726" spans="1:2" ht="15.75" thickBot="1">
      <c r="A726" s="6"/>
      <c r="B726" s="6"/>
    </row>
    <row r="727" spans="1:2" ht="15.75" thickBot="1">
      <c r="A727" s="6"/>
      <c r="B727" s="6"/>
    </row>
    <row r="728" spans="1:2" ht="15.75" thickBot="1">
      <c r="A728" s="6"/>
      <c r="B728" s="6"/>
    </row>
    <row r="729" spans="1:2" ht="15.75" thickBot="1">
      <c r="A729" s="6"/>
      <c r="B729" s="6"/>
    </row>
    <row r="730" spans="1:2" ht="15.75" thickBot="1">
      <c r="A730" s="6"/>
      <c r="B730" s="6"/>
    </row>
    <row r="731" spans="1:2" ht="15.75" thickBot="1">
      <c r="A731" s="6"/>
      <c r="B731" s="6"/>
    </row>
    <row r="732" spans="1:2" ht="15.75" thickBot="1">
      <c r="A732" s="6"/>
      <c r="B732" s="6"/>
    </row>
    <row r="733" spans="1:2" ht="15.75" thickBot="1">
      <c r="A733" s="6"/>
      <c r="B733" s="6"/>
    </row>
    <row r="734" spans="1:2" ht="15.75" thickBot="1">
      <c r="A734" s="6"/>
      <c r="B734" s="6"/>
    </row>
    <row r="735" spans="1:2" ht="15.75" thickBot="1">
      <c r="A735" s="6"/>
      <c r="B735" s="6"/>
    </row>
    <row r="736" spans="1:2" ht="15.75" thickBot="1">
      <c r="A736" s="6"/>
      <c r="B736" s="6"/>
    </row>
    <row r="737" spans="1:2" ht="15.75" thickBot="1">
      <c r="A737" s="6"/>
      <c r="B737" s="6"/>
    </row>
    <row r="738" spans="1:2" ht="15.75" thickBot="1">
      <c r="A738" s="6"/>
      <c r="B738" s="6"/>
    </row>
    <row r="739" spans="1:2" ht="15.75" thickBot="1">
      <c r="A739" s="6"/>
      <c r="B739" s="6"/>
    </row>
    <row r="740" spans="1:2" ht="15.75" thickBot="1">
      <c r="A740" s="6"/>
      <c r="B740" s="6"/>
    </row>
    <row r="741" spans="1:2" ht="15.75" thickBot="1">
      <c r="A741" s="6"/>
      <c r="B741" s="6"/>
    </row>
    <row r="742" spans="1:2" ht="15.75" thickBot="1">
      <c r="A742" s="6"/>
      <c r="B742" s="6"/>
    </row>
    <row r="743" spans="1:2" ht="15.75" thickBot="1">
      <c r="A743" s="6"/>
      <c r="B743" s="6"/>
    </row>
    <row r="744" spans="1:2" ht="15.75" thickBot="1">
      <c r="A744" s="6"/>
      <c r="B744" s="6"/>
    </row>
    <row r="745" spans="1:2" ht="15.75" thickBot="1">
      <c r="A745" s="6"/>
      <c r="B745" s="6"/>
    </row>
    <row r="746" spans="1:2" ht="15.75" thickBot="1">
      <c r="A746" s="6"/>
      <c r="B746" s="6"/>
    </row>
    <row r="747" spans="1:2" ht="15.75" thickBot="1">
      <c r="A747" s="6"/>
      <c r="B747" s="6"/>
    </row>
    <row r="748" spans="1:2" ht="15.75" thickBot="1">
      <c r="A748" s="6"/>
      <c r="B748" s="6"/>
    </row>
    <row r="749" spans="1:2" ht="15.75" thickBot="1">
      <c r="A749" s="6"/>
      <c r="B749" s="6"/>
    </row>
    <row r="750" spans="1:2" ht="15.75" thickBot="1">
      <c r="A750" s="6"/>
      <c r="B750" s="6"/>
    </row>
    <row r="751" spans="1:2" ht="15.75" thickBot="1">
      <c r="A751" s="6"/>
      <c r="B751" s="6"/>
    </row>
    <row r="752" spans="1:2" ht="15.75" thickBot="1">
      <c r="A752" s="6"/>
      <c r="B752" s="6"/>
    </row>
    <row r="753" spans="1:2" ht="15.75" thickBot="1">
      <c r="A753" s="6"/>
      <c r="B753" s="6"/>
    </row>
    <row r="754" spans="1:2" ht="15.75" thickBot="1">
      <c r="A754" s="6"/>
      <c r="B754" s="6"/>
    </row>
    <row r="755" spans="1:2" ht="15.75" thickBot="1">
      <c r="A755" s="6"/>
      <c r="B755" s="6"/>
    </row>
    <row r="756" spans="1:2" ht="15.75" thickBot="1">
      <c r="A756" s="6"/>
      <c r="B756" s="6"/>
    </row>
    <row r="757" spans="1:2" ht="15.75" thickBot="1">
      <c r="A757" s="6"/>
      <c r="B757" s="6"/>
    </row>
    <row r="758" spans="1:2" ht="15.75" thickBot="1">
      <c r="A758" s="6"/>
      <c r="B758" s="6"/>
    </row>
    <row r="759" spans="1:2" ht="15.75" thickBot="1">
      <c r="A759" s="6"/>
      <c r="B759" s="6"/>
    </row>
    <row r="760" spans="1:2" ht="15.75" thickBot="1">
      <c r="A760" s="6"/>
      <c r="B760" s="6"/>
    </row>
    <row r="761" spans="1:2" ht="15.75" thickBot="1">
      <c r="A761" s="6"/>
      <c r="B761" s="6"/>
    </row>
    <row r="762" spans="1:2" ht="15.75" thickBot="1">
      <c r="A762" s="6"/>
      <c r="B762" s="6"/>
    </row>
    <row r="763" spans="1:2" ht="15.75" thickBot="1">
      <c r="A763" s="6"/>
      <c r="B763" s="6"/>
    </row>
    <row r="764" spans="1:2" ht="15.75" thickBot="1">
      <c r="A764" s="6"/>
      <c r="B764" s="6"/>
    </row>
    <row r="765" spans="1:2" ht="15.75" thickBot="1">
      <c r="A765" s="6"/>
      <c r="B765" s="6"/>
    </row>
    <row r="766" spans="1:2" ht="15.75" thickBot="1">
      <c r="A766" s="6"/>
      <c r="B766" s="6"/>
    </row>
    <row r="767" spans="1:2" ht="15.75" thickBot="1">
      <c r="A767" s="6"/>
      <c r="B767" s="6"/>
    </row>
    <row r="768" spans="1:2" ht="15.75" thickBot="1">
      <c r="A768" s="6"/>
      <c r="B768" s="6"/>
    </row>
    <row r="769" spans="1:2" ht="15.75" thickBot="1">
      <c r="A769" s="6"/>
      <c r="B769" s="6"/>
    </row>
    <row r="770" spans="1:2" ht="15.75" thickBot="1">
      <c r="A770" s="6"/>
      <c r="B770" s="6"/>
    </row>
    <row r="771" spans="1:2" ht="15.75" thickBot="1">
      <c r="A771" s="6"/>
      <c r="B771" s="6"/>
    </row>
    <row r="772" spans="1:2" ht="15.75" thickBot="1">
      <c r="A772" s="6"/>
      <c r="B772" s="6"/>
    </row>
    <row r="773" spans="1:2" ht="15.75" thickBot="1">
      <c r="A773" s="6"/>
      <c r="B773" s="6"/>
    </row>
    <row r="774" spans="1:2" ht="15.75" thickBot="1">
      <c r="A774" s="6"/>
      <c r="B774" s="6"/>
    </row>
    <row r="775" spans="1:2" ht="15.75" thickBot="1">
      <c r="A775" s="6"/>
      <c r="B775" s="6"/>
    </row>
    <row r="776" spans="1:2" ht="15.75" thickBot="1">
      <c r="A776" s="6"/>
      <c r="B776" s="6"/>
    </row>
    <row r="777" spans="1:2" ht="15.75" thickBot="1">
      <c r="A777" s="6"/>
      <c r="B777" s="6"/>
    </row>
    <row r="778" spans="1:2" ht="15.75" thickBot="1">
      <c r="A778" s="6"/>
      <c r="B778" s="6"/>
    </row>
    <row r="779" spans="1:2" ht="15.75" thickBot="1">
      <c r="A779" s="6"/>
      <c r="B779" s="6"/>
    </row>
    <row r="780" spans="1:2" ht="15.75" thickBot="1">
      <c r="A780" s="6"/>
      <c r="B780" s="6"/>
    </row>
    <row r="781" spans="1:2" ht="15.75" thickBot="1">
      <c r="A781" s="6"/>
      <c r="B781" s="6"/>
    </row>
    <row r="782" spans="1:2" ht="15.75" thickBot="1">
      <c r="A782" s="6"/>
      <c r="B782" s="6"/>
    </row>
    <row r="783" spans="1:2" ht="15.75" thickBot="1">
      <c r="A783" s="6"/>
      <c r="B783" s="6"/>
    </row>
    <row r="784" spans="1:2" ht="15.75" thickBot="1">
      <c r="A784" s="6"/>
      <c r="B784" s="6"/>
    </row>
    <row r="785" spans="1:2" ht="15.75" thickBot="1">
      <c r="A785" s="6"/>
      <c r="B785" s="6"/>
    </row>
    <row r="786" spans="1:2" ht="15.75" thickBot="1">
      <c r="A786" s="6"/>
      <c r="B786" s="6"/>
    </row>
    <row r="787" spans="1:2" ht="15.75" thickBot="1">
      <c r="A787" s="6"/>
      <c r="B787" s="6"/>
    </row>
    <row r="788" spans="1:2" ht="15.75" thickBot="1">
      <c r="A788" s="6"/>
      <c r="B788" s="6"/>
    </row>
    <row r="789" spans="1:2" ht="15.75" thickBot="1">
      <c r="A789" s="6"/>
      <c r="B789" s="6"/>
    </row>
    <row r="790" spans="1:2" ht="15.75" thickBot="1">
      <c r="A790" s="6"/>
      <c r="B790" s="6"/>
    </row>
    <row r="791" spans="1:2" ht="15.75" thickBot="1">
      <c r="A791" s="6"/>
      <c r="B791" s="6"/>
    </row>
    <row r="792" spans="1:2" ht="15.75" thickBot="1">
      <c r="A792" s="6"/>
      <c r="B792" s="6"/>
    </row>
    <row r="793" spans="1:2" ht="15.75" thickBot="1">
      <c r="A793" s="6"/>
      <c r="B793" s="6"/>
    </row>
    <row r="794" spans="1:2" ht="15.75" thickBot="1">
      <c r="A794" s="6"/>
      <c r="B794" s="6"/>
    </row>
    <row r="795" spans="1:2" ht="15.75" thickBot="1">
      <c r="A795" s="6"/>
      <c r="B795" s="6"/>
    </row>
    <row r="796" spans="1:2" ht="15.75" thickBot="1">
      <c r="A796" s="6"/>
      <c r="B796" s="6"/>
    </row>
    <row r="797" spans="1:2" ht="15.75" thickBot="1">
      <c r="A797" s="6"/>
      <c r="B797" s="6"/>
    </row>
    <row r="798" spans="1:2" ht="15.75" thickBot="1">
      <c r="A798" s="6"/>
      <c r="B798" s="6"/>
    </row>
    <row r="799" spans="1:2" ht="15.75" thickBot="1">
      <c r="A799" s="6"/>
      <c r="B799" s="6"/>
    </row>
    <row r="800" spans="1:2" ht="15.75" thickBot="1">
      <c r="A800" s="6"/>
      <c r="B800" s="6"/>
    </row>
    <row r="801" spans="1:2" ht="15.75" thickBot="1">
      <c r="A801" s="6"/>
      <c r="B801" s="6"/>
    </row>
    <row r="802" spans="1:2" ht="15.75" thickBot="1">
      <c r="A802" s="6"/>
      <c r="B802" s="6"/>
    </row>
    <row r="803" spans="1:2" ht="15.75" thickBot="1">
      <c r="A803" s="6"/>
      <c r="B803" s="6"/>
    </row>
    <row r="804" spans="1:2" ht="15.75" thickBot="1">
      <c r="A804" s="6"/>
      <c r="B804" s="6"/>
    </row>
    <row r="805" spans="1:2" ht="15.75" thickBot="1">
      <c r="A805" s="6"/>
      <c r="B805" s="6"/>
    </row>
    <row r="806" spans="1:2" ht="15.75" thickBot="1">
      <c r="A806" s="6"/>
      <c r="B806" s="6"/>
    </row>
    <row r="807" spans="1:2" ht="15.75" thickBot="1">
      <c r="A807" s="6"/>
      <c r="B807" s="6"/>
    </row>
    <row r="808" spans="1:2" ht="15.75" thickBot="1">
      <c r="A808" s="6"/>
      <c r="B808" s="6"/>
    </row>
    <row r="809" spans="1:2" ht="15.75" thickBot="1">
      <c r="A809" s="6"/>
      <c r="B809" s="6"/>
    </row>
    <row r="810" spans="1:2" ht="15.75" thickBot="1">
      <c r="A810" s="6"/>
      <c r="B810" s="6"/>
    </row>
    <row r="811" spans="1:2" ht="15.75" thickBot="1">
      <c r="A811" s="6"/>
      <c r="B811" s="6"/>
    </row>
    <row r="812" spans="1:2" ht="15.75" thickBot="1">
      <c r="A812" s="6"/>
      <c r="B812" s="6"/>
    </row>
    <row r="813" spans="1:2" ht="15.75" thickBot="1">
      <c r="A813" s="6"/>
      <c r="B813" s="6"/>
    </row>
    <row r="814" spans="1:2" ht="15.75" thickBot="1">
      <c r="A814" s="6"/>
      <c r="B814" s="6"/>
    </row>
    <row r="815" spans="1:2" ht="15.75" thickBot="1">
      <c r="A815" s="6"/>
      <c r="B815" s="6"/>
    </row>
    <row r="816" spans="1:2" ht="15.75" thickBot="1">
      <c r="A816" s="6"/>
      <c r="B816" s="6"/>
    </row>
    <row r="817" spans="1:2" ht="15.75" thickBot="1">
      <c r="A817" s="6"/>
      <c r="B817" s="6"/>
    </row>
    <row r="818" spans="1:2" ht="15.75" thickBot="1">
      <c r="A818" s="6"/>
      <c r="B818" s="6"/>
    </row>
    <row r="819" spans="1:2" ht="15.75" thickBot="1">
      <c r="A819" s="6"/>
      <c r="B819" s="6"/>
    </row>
    <row r="820" spans="1:2" ht="15.75" thickBot="1">
      <c r="A820" s="6"/>
      <c r="B820" s="6"/>
    </row>
    <row r="821" spans="1:2" ht="15.75" thickBot="1">
      <c r="A821" s="6"/>
      <c r="B821" s="6"/>
    </row>
    <row r="822" spans="1:2" ht="15.75" thickBot="1">
      <c r="A822" s="6"/>
      <c r="B822" s="6"/>
    </row>
    <row r="823" spans="1:2" ht="15.75" thickBot="1">
      <c r="A823" s="6"/>
      <c r="B823" s="6"/>
    </row>
    <row r="824" spans="1:2" ht="15.75" thickBot="1">
      <c r="A824" s="6"/>
      <c r="B824" s="6"/>
    </row>
    <row r="825" spans="1:2" ht="15.75" thickBot="1">
      <c r="A825" s="6"/>
      <c r="B825" s="6"/>
    </row>
    <row r="826" spans="1:2" ht="15.75" thickBot="1">
      <c r="A826" s="6"/>
      <c r="B826" s="6"/>
    </row>
    <row r="827" spans="1:2" ht="15.75" thickBot="1">
      <c r="A827" s="6"/>
      <c r="B827" s="6"/>
    </row>
    <row r="828" spans="1:2" ht="15.75" thickBot="1">
      <c r="A828" s="6"/>
      <c r="B828" s="6"/>
    </row>
    <row r="829" spans="1:2" ht="15.75" thickBot="1">
      <c r="A829" s="6"/>
      <c r="B829" s="6"/>
    </row>
    <row r="830" spans="1:2" ht="15.75" thickBot="1">
      <c r="A830" s="6"/>
      <c r="B830" s="6"/>
    </row>
    <row r="831" spans="1:2" ht="15.75" thickBot="1">
      <c r="A831" s="6"/>
      <c r="B831" s="6"/>
    </row>
    <row r="832" spans="1:2" ht="15.75" thickBot="1">
      <c r="A832" s="6"/>
      <c r="B832" s="6"/>
    </row>
    <row r="833" spans="1:2" ht="15.75" thickBot="1">
      <c r="A833" s="6"/>
      <c r="B833" s="6"/>
    </row>
    <row r="834" spans="1:2" ht="15.75" thickBot="1">
      <c r="A834" s="6"/>
      <c r="B834" s="6"/>
    </row>
    <row r="835" spans="1:2" ht="15.75" thickBot="1">
      <c r="A835" s="6"/>
      <c r="B835" s="6"/>
    </row>
    <row r="836" spans="1:2" ht="15.75" thickBot="1">
      <c r="A836" s="6"/>
      <c r="B836" s="6"/>
    </row>
    <row r="837" spans="1:2" ht="15.75" thickBot="1">
      <c r="A837" s="6"/>
      <c r="B837" s="6"/>
    </row>
    <row r="838" spans="1:2" ht="15.75" thickBot="1">
      <c r="A838" s="6"/>
      <c r="B838" s="6"/>
    </row>
    <row r="839" spans="1:2" ht="15.75" thickBot="1">
      <c r="A839" s="6"/>
      <c r="B839" s="6"/>
    </row>
    <row r="840" spans="1:2" ht="15.75" thickBot="1">
      <c r="A840" s="6"/>
      <c r="B840" s="6"/>
    </row>
    <row r="841" spans="1:2" ht="15.75" thickBot="1">
      <c r="A841" s="6"/>
      <c r="B841" s="6"/>
    </row>
    <row r="842" spans="1:2" ht="15.75" thickBot="1">
      <c r="A842" s="6"/>
      <c r="B842" s="6"/>
    </row>
    <row r="843" spans="1:2" ht="15.75" thickBot="1">
      <c r="A843" s="6"/>
      <c r="B843" s="6"/>
    </row>
    <row r="844" spans="1:2" ht="15.75" thickBot="1">
      <c r="A844" s="6"/>
      <c r="B844" s="6"/>
    </row>
    <row r="845" spans="1:2" ht="15.75" thickBot="1">
      <c r="A845" s="6"/>
      <c r="B845" s="6"/>
    </row>
    <row r="846" spans="1:2" ht="15.75" thickBot="1">
      <c r="A846" s="6"/>
      <c r="B846" s="6"/>
    </row>
    <row r="847" spans="1:2" ht="15.75" thickBot="1">
      <c r="A847" s="6"/>
      <c r="B847" s="6"/>
    </row>
    <row r="848" spans="1:2" ht="15.75" thickBot="1">
      <c r="A848" s="6"/>
      <c r="B848" s="6"/>
    </row>
    <row r="849" spans="1:2" ht="15.75" thickBot="1">
      <c r="A849" s="6"/>
      <c r="B849" s="6"/>
    </row>
    <row r="850" spans="1:2" ht="15.75" thickBot="1">
      <c r="A850" s="6"/>
      <c r="B850" s="6"/>
    </row>
    <row r="851" spans="1:2" ht="15.75" thickBot="1">
      <c r="A851" s="6"/>
      <c r="B851" s="6"/>
    </row>
    <row r="852" spans="1:2" ht="15.75" thickBot="1">
      <c r="A852" s="6"/>
      <c r="B852" s="6"/>
    </row>
    <row r="853" spans="1:2" ht="15.75" thickBot="1">
      <c r="A853" s="6"/>
      <c r="B853" s="6"/>
    </row>
    <row r="854" spans="1:2" ht="15.75" thickBot="1">
      <c r="A854" s="6"/>
      <c r="B854" s="6"/>
    </row>
    <row r="855" spans="1:2" ht="15.75" thickBot="1">
      <c r="A855" s="6"/>
      <c r="B855" s="6"/>
    </row>
    <row r="856" spans="1:2" ht="15.75" thickBot="1">
      <c r="A856" s="6"/>
      <c r="B856" s="6"/>
    </row>
    <row r="857" spans="1:2" ht="15.75" thickBot="1">
      <c r="A857" s="6"/>
      <c r="B857" s="6"/>
    </row>
    <row r="858" spans="1:2" ht="15.75" thickBot="1">
      <c r="A858" s="6"/>
      <c r="B858" s="6"/>
    </row>
    <row r="859" spans="1:2" ht="15.75" thickBot="1">
      <c r="A859" s="6"/>
      <c r="B859" s="6"/>
    </row>
    <row r="860" spans="1:2" ht="15.75" thickBot="1">
      <c r="A860" s="6"/>
      <c r="B860" s="6"/>
    </row>
    <row r="861" spans="1:2" ht="15.75" thickBot="1">
      <c r="A861" s="6"/>
      <c r="B861" s="6"/>
    </row>
    <row r="862" spans="1:2" ht="15.75" thickBot="1">
      <c r="A862" s="6"/>
      <c r="B862" s="6"/>
    </row>
    <row r="863" spans="1:2" ht="15.75" thickBot="1">
      <c r="A863" s="6"/>
      <c r="B863" s="6"/>
    </row>
    <row r="864" spans="1:2" ht="15.75" thickBot="1">
      <c r="A864" s="6"/>
      <c r="B864" s="6"/>
    </row>
    <row r="865" spans="1:2" ht="15.75" thickBot="1">
      <c r="A865" s="6"/>
      <c r="B865" s="6"/>
    </row>
    <row r="866" spans="1:2" ht="15.75" thickBot="1">
      <c r="A866" s="6"/>
      <c r="B866" s="6"/>
    </row>
    <row r="867" spans="1:2" ht="15.75" thickBot="1">
      <c r="A867" s="6"/>
      <c r="B867" s="6"/>
    </row>
    <row r="868" spans="1:2" ht="15.75" thickBot="1">
      <c r="A868" s="6"/>
      <c r="B868" s="6"/>
    </row>
    <row r="869" spans="1:2" ht="15.75" thickBot="1">
      <c r="A869" s="6"/>
      <c r="B869" s="6"/>
    </row>
    <row r="870" spans="1:2" ht="15.75" thickBot="1">
      <c r="A870" s="6"/>
      <c r="B870" s="6"/>
    </row>
    <row r="871" spans="1:2" ht="15.75" thickBot="1">
      <c r="A871" s="6"/>
      <c r="B871" s="6"/>
    </row>
    <row r="872" spans="1:2" ht="15.75" thickBot="1">
      <c r="A872" s="6"/>
      <c r="B872" s="6"/>
    </row>
    <row r="873" spans="1:2" ht="15.75" thickBot="1">
      <c r="A873" s="6"/>
      <c r="B873" s="6"/>
    </row>
    <row r="874" spans="1:2" ht="15.75" thickBot="1">
      <c r="A874" s="6"/>
      <c r="B874" s="6"/>
    </row>
    <row r="875" spans="1:2" ht="15.75" thickBot="1">
      <c r="A875" s="6"/>
      <c r="B875" s="6"/>
    </row>
    <row r="876" spans="1:2" ht="15.75" thickBot="1">
      <c r="A876" s="6"/>
      <c r="B876" s="6"/>
    </row>
    <row r="877" spans="1:2" ht="15.75" thickBot="1">
      <c r="A877" s="6"/>
      <c r="B877" s="6"/>
    </row>
    <row r="878" spans="1:2" ht="15.75" thickBot="1">
      <c r="A878" s="6"/>
      <c r="B878" s="6"/>
    </row>
    <row r="879" spans="1:2" ht="15.75" thickBot="1">
      <c r="A879" s="6"/>
      <c r="B879" s="6"/>
    </row>
    <row r="880" spans="1:2" ht="15.75" thickBot="1">
      <c r="A880" s="6"/>
      <c r="B880" s="6"/>
    </row>
    <row r="881" spans="1:2" ht="15.75" thickBot="1">
      <c r="A881" s="6"/>
      <c r="B881" s="6"/>
    </row>
    <row r="882" spans="1:2" ht="15.75" thickBot="1">
      <c r="A882" s="6"/>
      <c r="B882" s="6"/>
    </row>
    <row r="883" spans="1:2" ht="15.75" thickBot="1">
      <c r="A883" s="6"/>
      <c r="B883" s="6"/>
    </row>
    <row r="884" spans="1:2" ht="15.75" thickBot="1">
      <c r="A884" s="6"/>
      <c r="B884" s="6"/>
    </row>
    <row r="885" spans="1:2" ht="15.75" thickBot="1">
      <c r="A885" s="6"/>
      <c r="B885" s="6"/>
    </row>
    <row r="886" spans="1:2" ht="15.75" thickBot="1">
      <c r="A886" s="6"/>
      <c r="B886" s="6"/>
    </row>
    <row r="887" spans="1:2" ht="15.75" thickBot="1">
      <c r="A887" s="6"/>
      <c r="B887" s="6"/>
    </row>
    <row r="888" spans="1:2" ht="15.75" thickBot="1">
      <c r="A888" s="6"/>
      <c r="B888" s="6"/>
    </row>
    <row r="889" spans="1:2" ht="15.75" thickBot="1">
      <c r="A889" s="6"/>
      <c r="B889" s="6"/>
    </row>
    <row r="890" spans="1:2" ht="15.75" thickBot="1">
      <c r="A890" s="6"/>
      <c r="B890" s="6"/>
    </row>
    <row r="891" spans="1:2" ht="15.75" thickBot="1">
      <c r="A891" s="6"/>
      <c r="B891" s="6"/>
    </row>
    <row r="892" spans="1:2" ht="15.75" thickBot="1">
      <c r="A892" s="6"/>
      <c r="B892" s="6"/>
    </row>
    <row r="893" spans="1:2" ht="15.75" thickBot="1">
      <c r="A893" s="6"/>
      <c r="B893" s="6"/>
    </row>
    <row r="894" spans="1:2" ht="15.75" thickBot="1">
      <c r="A894" s="6"/>
      <c r="B894" s="6"/>
    </row>
    <row r="895" spans="1:2" ht="15.75" thickBot="1">
      <c r="A895" s="6"/>
      <c r="B895" s="6"/>
    </row>
    <row r="896" spans="1:2" ht="15.75" thickBot="1">
      <c r="A896" s="6"/>
      <c r="B896" s="6"/>
    </row>
    <row r="897" spans="1:2" ht="15.75" thickBot="1">
      <c r="A897" s="6"/>
      <c r="B897" s="6"/>
    </row>
    <row r="898" spans="1:2" ht="15.75" thickBot="1">
      <c r="A898" s="6"/>
      <c r="B898" s="6"/>
    </row>
    <row r="899" spans="1:2" ht="15.75" thickBot="1">
      <c r="A899" s="6"/>
      <c r="B899" s="6"/>
    </row>
    <row r="900" spans="1:2" ht="15.75" thickBot="1">
      <c r="A900" s="6"/>
      <c r="B900" s="6"/>
    </row>
    <row r="901" spans="1:2" ht="15.75" thickBot="1">
      <c r="A901" s="6"/>
      <c r="B901" s="6"/>
    </row>
    <row r="902" spans="1:2" ht="15.75" thickBot="1">
      <c r="A902" s="6"/>
      <c r="B902" s="6"/>
    </row>
    <row r="903" spans="1:2" ht="15.75" thickBot="1">
      <c r="A903" s="6"/>
      <c r="B903" s="6"/>
    </row>
    <row r="904" spans="1:2" ht="15.75" thickBot="1">
      <c r="A904" s="6"/>
      <c r="B904" s="6"/>
    </row>
    <row r="905" spans="1:2" ht="15.75" thickBot="1">
      <c r="A905" s="6"/>
      <c r="B905" s="6"/>
    </row>
    <row r="906" spans="1:2" ht="15.75" thickBot="1">
      <c r="A906" s="6"/>
      <c r="B906" s="6"/>
    </row>
    <row r="907" spans="1:2" ht="15.75" thickBot="1">
      <c r="A907" s="6"/>
      <c r="B907" s="6"/>
    </row>
    <row r="908" spans="1:2" ht="15.75" thickBot="1">
      <c r="A908" s="6"/>
      <c r="B908" s="6"/>
    </row>
    <row r="909" spans="1:2" ht="15.75" thickBot="1">
      <c r="A909" s="6"/>
      <c r="B909" s="6"/>
    </row>
    <row r="910" spans="1:2" ht="15.75" thickBot="1">
      <c r="A910" s="6"/>
      <c r="B910" s="6"/>
    </row>
    <row r="911" spans="1:2" ht="15.75" thickBot="1">
      <c r="A911" s="6"/>
      <c r="B911" s="6"/>
    </row>
    <row r="912" spans="1:2" ht="15.75" thickBot="1">
      <c r="A912" s="6"/>
      <c r="B912" s="6"/>
    </row>
    <row r="913" spans="1:2" ht="15.75" thickBot="1">
      <c r="A913" s="6"/>
      <c r="B913" s="6"/>
    </row>
    <row r="914" spans="1:2" ht="15.75" thickBot="1">
      <c r="A914" s="6"/>
      <c r="B914" s="6"/>
    </row>
    <row r="915" spans="1:2" ht="15.75" thickBot="1">
      <c r="A915" s="6"/>
      <c r="B915" s="6"/>
    </row>
    <row r="916" spans="1:2" ht="15.75" thickBot="1">
      <c r="A916" s="6"/>
      <c r="B916" s="6"/>
    </row>
    <row r="917" spans="1:2" ht="15.75" thickBot="1">
      <c r="A917" s="6"/>
      <c r="B917" s="6"/>
    </row>
    <row r="918" spans="1:2" ht="15.75" thickBot="1">
      <c r="A918" s="6"/>
      <c r="B918" s="6"/>
    </row>
    <row r="919" spans="1:2" ht="15.75" thickBot="1">
      <c r="A919" s="6"/>
      <c r="B919" s="6"/>
    </row>
    <row r="920" spans="1:2" ht="15.75" thickBot="1">
      <c r="A920" s="6"/>
      <c r="B920" s="6"/>
    </row>
    <row r="921" spans="1:2" ht="15.75" thickBot="1">
      <c r="A921" s="6"/>
      <c r="B921" s="6"/>
    </row>
    <row r="922" spans="1:2" ht="15.75" thickBot="1">
      <c r="A922" s="6"/>
      <c r="B922" s="6"/>
    </row>
    <row r="923" spans="1:2" ht="15.75" thickBot="1">
      <c r="A923" s="6"/>
      <c r="B923" s="6"/>
    </row>
    <row r="924" spans="1:2" ht="15.75" thickBot="1">
      <c r="A924" s="6"/>
      <c r="B924" s="6"/>
    </row>
    <row r="925" spans="1:2" ht="15.75" thickBot="1">
      <c r="A925" s="6"/>
      <c r="B925" s="6"/>
    </row>
    <row r="926" spans="1:2" ht="15.75" thickBot="1">
      <c r="A926" s="6"/>
      <c r="B926" s="6"/>
    </row>
    <row r="927" spans="1:2" ht="15.75" thickBot="1">
      <c r="A927" s="6"/>
      <c r="B927" s="6"/>
    </row>
    <row r="928" spans="1:2" ht="15.75" thickBot="1">
      <c r="A928" s="6"/>
      <c r="B928" s="6"/>
    </row>
    <row r="929" spans="1:2" ht="15.75" thickBot="1">
      <c r="A929" s="6"/>
      <c r="B929" s="6"/>
    </row>
    <row r="930" spans="1:2" ht="15.75" thickBot="1">
      <c r="A930" s="6"/>
      <c r="B930" s="6"/>
    </row>
    <row r="931" spans="1:2" ht="15.75" thickBot="1">
      <c r="A931" s="6"/>
      <c r="B931" s="6"/>
    </row>
    <row r="932" spans="1:2" ht="15.75" thickBot="1">
      <c r="A932" s="6"/>
      <c r="B932" s="6"/>
    </row>
    <row r="933" spans="1:2" ht="15.75" thickBot="1">
      <c r="A933" s="6"/>
      <c r="B933" s="6"/>
    </row>
    <row r="934" spans="1:2" ht="15.75" thickBot="1">
      <c r="A934" s="6"/>
      <c r="B934" s="6"/>
    </row>
    <row r="935" spans="1:2" ht="15.75" thickBot="1">
      <c r="A935" s="6"/>
      <c r="B935" s="6"/>
    </row>
    <row r="936" spans="1:2" ht="15.75" thickBot="1">
      <c r="A936" s="6"/>
      <c r="B936" s="6"/>
    </row>
    <row r="937" spans="1:2" ht="15.75" thickBot="1">
      <c r="A937" s="6"/>
      <c r="B937" s="6"/>
    </row>
    <row r="938" spans="1:2" ht="15.75" thickBot="1">
      <c r="A938" s="6"/>
      <c r="B938" s="6"/>
    </row>
    <row r="939" spans="1:2" ht="15.75" thickBot="1">
      <c r="A939" s="6"/>
      <c r="B939" s="6"/>
    </row>
    <row r="940" spans="1:2" ht="15.75" thickBot="1">
      <c r="A940" s="6"/>
      <c r="B940" s="6"/>
    </row>
    <row r="941" spans="1:2" ht="15.75" thickBot="1">
      <c r="A941" s="6"/>
      <c r="B941" s="6"/>
    </row>
    <row r="942" spans="1:2" ht="15.75" thickBot="1">
      <c r="A942" s="6"/>
      <c r="B942" s="6"/>
    </row>
    <row r="943" spans="1:2" ht="15.75" thickBot="1">
      <c r="A943" s="6"/>
      <c r="B943" s="6"/>
    </row>
    <row r="944" spans="1:2" ht="15.75" thickBot="1">
      <c r="A944" s="6"/>
      <c r="B944" s="6"/>
    </row>
    <row r="945" spans="1:2" ht="15.75" thickBot="1">
      <c r="A945" s="6"/>
      <c r="B945" s="6"/>
    </row>
    <row r="946" spans="1:2" ht="15.75" thickBot="1">
      <c r="A946" s="6"/>
      <c r="B946" s="6"/>
    </row>
    <row r="947" spans="1:2" ht="15.75" thickBot="1">
      <c r="A947" s="6"/>
      <c r="B947" s="6"/>
    </row>
    <row r="948" spans="1:2" ht="15.75" thickBot="1">
      <c r="A948" s="6"/>
      <c r="B948" s="6"/>
    </row>
    <row r="949" spans="1:2" ht="15.75" thickBot="1">
      <c r="A949" s="6"/>
      <c r="B949" s="6"/>
    </row>
    <row r="950" spans="1:2" ht="15.75" thickBot="1">
      <c r="A950" s="6"/>
      <c r="B950" s="6"/>
    </row>
    <row r="951" spans="1:2" ht="15.75" thickBot="1">
      <c r="A951" s="6"/>
      <c r="B951" s="6"/>
    </row>
    <row r="952" spans="1:2" ht="15.75" thickBot="1">
      <c r="A952" s="6"/>
      <c r="B952" s="6"/>
    </row>
    <row r="953" spans="1:2" ht="15.75" thickBot="1">
      <c r="A953" s="6"/>
      <c r="B953" s="6"/>
    </row>
    <row r="954" spans="1:2" ht="15.75" thickBot="1">
      <c r="A954" s="6"/>
      <c r="B954" s="6"/>
    </row>
    <row r="955" spans="1:2" ht="15.75" thickBot="1">
      <c r="A955" s="6"/>
      <c r="B955" s="6"/>
    </row>
    <row r="956" spans="1:2" ht="15.75" thickBot="1">
      <c r="A956" s="6"/>
      <c r="B956" s="6"/>
    </row>
    <row r="957" spans="1:2" ht="15.75" thickBot="1">
      <c r="A957" s="6"/>
      <c r="B957" s="6"/>
    </row>
    <row r="958" spans="1:2" ht="15.75" thickBot="1">
      <c r="A958" s="6"/>
      <c r="B958" s="6"/>
    </row>
    <row r="959" spans="1:2" ht="15.75" thickBot="1">
      <c r="A959" s="6"/>
      <c r="B959" s="6"/>
    </row>
    <row r="960" spans="1:2" ht="15.75" thickBot="1">
      <c r="A960" s="6"/>
      <c r="B960" s="6"/>
    </row>
    <row r="961" spans="1:2" ht="15.75" thickBot="1">
      <c r="A961" s="6"/>
      <c r="B961" s="6"/>
    </row>
    <row r="962" spans="1:2" ht="15.75" thickBot="1">
      <c r="A962" s="6"/>
      <c r="B962" s="6"/>
    </row>
    <row r="963" spans="1:2" ht="15.75" thickBot="1">
      <c r="A963" s="6"/>
      <c r="B963" s="6"/>
    </row>
    <row r="964" spans="1:2" ht="15.75" thickBot="1">
      <c r="A964" s="6"/>
      <c r="B964" s="6"/>
    </row>
    <row r="965" spans="1:2" ht="15.75" thickBot="1">
      <c r="A965" s="6"/>
      <c r="B965" s="6"/>
    </row>
    <row r="966" spans="1:2" ht="15.75" thickBot="1">
      <c r="A966" s="6"/>
      <c r="B966" s="6"/>
    </row>
    <row r="967" spans="1:2" ht="15.75" thickBot="1">
      <c r="A967" s="6"/>
      <c r="B967" s="6"/>
    </row>
    <row r="968" spans="1:2" ht="15.75" thickBot="1">
      <c r="A968" s="6"/>
      <c r="B968" s="6"/>
    </row>
    <row r="969" spans="1:2" ht="15.75" thickBot="1">
      <c r="A969" s="6"/>
      <c r="B969" s="6"/>
    </row>
    <row r="970" spans="1:2" ht="15.75" thickBot="1">
      <c r="A970" s="6"/>
      <c r="B970" s="6"/>
    </row>
    <row r="971" spans="1:2" ht="15.75" thickBot="1">
      <c r="A971" s="6"/>
      <c r="B971" s="6"/>
    </row>
    <row r="972" spans="1:2" ht="15.75" thickBot="1">
      <c r="A972" s="6"/>
      <c r="B972" s="6"/>
    </row>
    <row r="973" spans="1:2" ht="15.75" thickBot="1">
      <c r="A973" s="6"/>
      <c r="B973" s="6"/>
    </row>
    <row r="974" spans="1:2" ht="15.75" thickBot="1">
      <c r="A974" s="6"/>
      <c r="B974" s="6"/>
    </row>
    <row r="975" spans="1:2" ht="15.75" thickBot="1">
      <c r="A975" s="6"/>
      <c r="B975" s="6"/>
    </row>
    <row r="976" spans="1:2" ht="15.75" thickBot="1">
      <c r="A976" s="6"/>
      <c r="B976" s="6"/>
    </row>
    <row r="977" spans="1:2" ht="15.75" thickBot="1">
      <c r="A977" s="6"/>
      <c r="B977" s="6"/>
    </row>
    <row r="978" spans="1:2" ht="15.75" thickBot="1">
      <c r="A978" s="6"/>
      <c r="B978" s="6"/>
    </row>
    <row r="979" spans="1:2" ht="15.75" thickBot="1">
      <c r="A979" s="6"/>
      <c r="B979" s="6"/>
    </row>
    <row r="980" spans="1:2" ht="15.75" thickBot="1">
      <c r="A980" s="6"/>
      <c r="B980" s="6"/>
    </row>
    <row r="981" spans="1:2" ht="15.75" thickBot="1">
      <c r="A981" s="6"/>
      <c r="B981" s="6"/>
    </row>
    <row r="982" spans="1:2" ht="15.75" thickBot="1">
      <c r="A982" s="6"/>
      <c r="B982" s="6"/>
    </row>
    <row r="983" spans="1:2" ht="15.75" thickBot="1">
      <c r="A983" s="6"/>
      <c r="B983" s="6"/>
    </row>
    <row r="984" spans="1:2" ht="15.75" thickBot="1">
      <c r="A984" s="6"/>
      <c r="B984" s="6"/>
    </row>
    <row r="985" spans="1:2" ht="15.75" thickBot="1">
      <c r="A985" s="6"/>
      <c r="B985" s="6"/>
    </row>
    <row r="986" spans="1:2" ht="15.75" thickBot="1">
      <c r="A986" s="6"/>
      <c r="B986" s="6"/>
    </row>
    <row r="987" spans="1:2" ht="15.75" thickBot="1">
      <c r="A987" s="6"/>
      <c r="B987" s="6"/>
    </row>
    <row r="988" spans="1:2" ht="15.75" thickBot="1">
      <c r="A988" s="6"/>
      <c r="B988" s="6"/>
    </row>
    <row r="989" spans="1:2" ht="15.75" thickBot="1">
      <c r="A989" s="6"/>
      <c r="B989" s="6"/>
    </row>
    <row r="990" spans="1:2" ht="15.75" thickBot="1">
      <c r="A990" s="6"/>
      <c r="B990" s="6"/>
    </row>
    <row r="991" spans="1:2" ht="15.75" thickBot="1">
      <c r="A991" s="6"/>
      <c r="B991" s="6"/>
    </row>
    <row r="992" spans="1:2" ht="15.75" thickBot="1">
      <c r="A992" s="6"/>
      <c r="B992" s="6"/>
    </row>
    <row r="993" spans="1:2" ht="15.75" thickBot="1">
      <c r="A993" s="6"/>
      <c r="B993" s="6"/>
    </row>
    <row r="994" spans="1:2" ht="15.75" thickBot="1">
      <c r="A994" s="6"/>
      <c r="B994" s="6"/>
    </row>
    <row r="995" spans="1:2" ht="15.75" thickBot="1">
      <c r="A995" s="6"/>
      <c r="B995" s="6"/>
    </row>
    <row r="996" spans="1:2" ht="15.75" thickBot="1">
      <c r="A996" s="6"/>
      <c r="B996" s="6"/>
    </row>
    <row r="997" spans="1:2" ht="15.75" thickBot="1">
      <c r="A997" s="6"/>
      <c r="B997" s="6"/>
    </row>
    <row r="998" spans="1:2" ht="15.75" thickBot="1">
      <c r="A998" s="6"/>
      <c r="B998" s="6"/>
    </row>
    <row r="999" spans="1:2" ht="15.75" thickBot="1">
      <c r="A999" s="6"/>
      <c r="B999" s="6"/>
    </row>
    <row r="1000" spans="1:2" ht="15.75" thickBot="1">
      <c r="A1000" s="6"/>
      <c r="B1000" s="6"/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 location="gid=0" display="https://docs.google.com/spreadsheets/d/1OY8YymIGJzEYTBVKwpkGE-vDsYz3rKSjNe1TUj3qt40/edit?ts=588a2a74 - gid=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 location="sthash.OhN0EPbC.dpbs" display="http://www.ladiscusion.cl/detalle/10722/Investigan-posible-femicidio-en-la-comuna-de-Pemuco - sthash.OhN0EPbC.dpbs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B150" r:id="rId149"/>
    <hyperlink ref="B151" r:id="rId150"/>
    <hyperlink ref="B152" r:id="rId151"/>
    <hyperlink ref="B153" r:id="rId152"/>
    <hyperlink ref="B154" r:id="rId153"/>
    <hyperlink ref="B155" r:id="rId154"/>
    <hyperlink ref="B156" r:id="rId155"/>
    <hyperlink ref="B157" r:id="rId156"/>
    <hyperlink ref="B158" r:id="rId157"/>
    <hyperlink ref="B159" r:id="rId158"/>
    <hyperlink ref="B160" r:id="rId159"/>
    <hyperlink ref="B161" r:id="rId160"/>
    <hyperlink ref="B162" r:id="rId161"/>
    <hyperlink ref="B163" r:id="rId162"/>
    <hyperlink ref="B164" r:id="rId163" location="gid=58251827" display="https://docs.google.com/spreadsheets/d/1YoRhvIyEnnM8PNWDB1dRu279pTIeFMVqCAuX5KTXSuU/edit - gid=58251827"/>
    <hyperlink ref="B167" r:id="rId164"/>
    <hyperlink ref="B168" r:id="rId165"/>
    <hyperlink ref="B169" r:id="rId166"/>
    <hyperlink ref="B170" r:id="rId167"/>
    <hyperlink ref="B171" r:id="rId168"/>
    <hyperlink ref="B172" r:id="rId169"/>
    <hyperlink ref="B174" r:id="rId170"/>
    <hyperlink ref="B175" r:id="rId171"/>
    <hyperlink ref="B176" r:id="rId172"/>
    <hyperlink ref="B177" r:id="rId173"/>
    <hyperlink ref="B179" r:id="rId174"/>
    <hyperlink ref="B180" r:id="rId175"/>
    <hyperlink ref="B182" r:id="rId176"/>
    <hyperlink ref="B183" r:id="rId177"/>
    <hyperlink ref="B184" r:id="rId178"/>
    <hyperlink ref="B185" r:id="rId179"/>
    <hyperlink ref="B186" r:id="rId180"/>
    <hyperlink ref="B187" r:id="rId181"/>
    <hyperlink ref="B188" r:id="rId182"/>
    <hyperlink ref="B189" r:id="rId183"/>
    <hyperlink ref="B190" r:id="rId184"/>
    <hyperlink ref="B191" r:id="rId185"/>
    <hyperlink ref="B192" r:id="rId186"/>
    <hyperlink ref="B193" r:id="rId187"/>
    <hyperlink ref="B194" r:id="rId188"/>
    <hyperlink ref="B195" r:id="rId189" location="vtxt_cuerpo_T0" display="http://www.cooperativa.cl/noticias/pais/policial/mujer-fue-encontrada-muerta-junto-a-su-hija-de-un-ano-en-vina-del-mar/2017-08-28/112209.html - vtxt_cuerpo_T0"/>
    <hyperlink ref="B196" r:id="rId190"/>
    <hyperlink ref="B197" r:id="rId191"/>
    <hyperlink ref="B198" r:id="rId192"/>
    <hyperlink ref="B199" r:id="rId193"/>
    <hyperlink ref="B200" r:id="rId194"/>
    <hyperlink ref="B201" r:id="rId195" display="http://www.latercera.com/noticia/mujer-venezolana-la-quinta-extranjera-victima-femicidio/"/>
    <hyperlink ref="B202" r:id="rId196"/>
    <hyperlink ref="B203" r:id="rId197"/>
    <hyperlink ref="B204" r:id="rId198"/>
    <hyperlink ref="B205" r:id="rId199"/>
    <hyperlink ref="B206" r:id="rId200"/>
    <hyperlink ref="B207" r:id="rId201"/>
    <hyperlink ref="B208" r:id="rId202"/>
    <hyperlink ref="B209" r:id="rId203"/>
    <hyperlink ref="B210" r:id="rId204"/>
    <hyperlink ref="B211" r:id="rId205"/>
    <hyperlink ref="B212" r:id="rId206"/>
    <hyperlink ref="B213" r:id="rId207"/>
    <hyperlink ref="B214" r:id="rId208"/>
    <hyperlink ref="B215" r:id="rId209"/>
    <hyperlink ref="B216" r:id="rId210"/>
    <hyperlink ref="B217" r:id="rId211"/>
    <hyperlink ref="B218" r:id="rId212"/>
    <hyperlink ref="B219" r:id="rId213"/>
    <hyperlink ref="B220" r:id="rId214"/>
    <hyperlink ref="B221" r:id="rId215"/>
    <hyperlink ref="B222" r:id="rId216"/>
    <hyperlink ref="B223" r:id="rId217"/>
    <hyperlink ref="B224" r:id="rId218"/>
    <hyperlink ref="B225" r:id="rId219"/>
    <hyperlink ref="B226" r:id="rId220"/>
    <hyperlink ref="B227" r:id="rId221"/>
    <hyperlink ref="B228" r:id="rId222"/>
    <hyperlink ref="B229" r:id="rId223"/>
    <hyperlink ref="B230" r:id="rId224"/>
    <hyperlink ref="B231" r:id="rId225"/>
    <hyperlink ref="B232" r:id="rId226"/>
    <hyperlink ref="B233" r:id="rId227"/>
    <hyperlink ref="B234" r:id="rId228" display="http://portal.sernam.cl/img/upoloads/FEMICIDIOS 2016 al 10 de enero.pdf"/>
    <hyperlink ref="B235" r:id="rId229"/>
    <hyperlink ref="B236" r:id="rId230"/>
    <hyperlink ref="B237" r:id="rId231"/>
    <hyperlink ref="B238" r:id="rId232"/>
    <hyperlink ref="B239" r:id="rId233"/>
    <hyperlink ref="B240" r:id="rId234"/>
    <hyperlink ref="B241" r:id="rId235" display="https://portal.sernam.cl/img/upoloads/FEMICIDIOS 2016 al 7_02(1).pdf"/>
    <hyperlink ref="B242" r:id="rId236"/>
    <hyperlink ref="B243" r:id="rId237"/>
    <hyperlink ref="B244" r:id="rId238"/>
    <hyperlink ref="B245" r:id="rId239"/>
    <hyperlink ref="B246" r:id="rId240"/>
    <hyperlink ref="B247" r:id="rId241"/>
    <hyperlink ref="B248" r:id="rId242"/>
    <hyperlink ref="B249" r:id="rId243"/>
    <hyperlink ref="B250" r:id="rId244"/>
    <hyperlink ref="B251" r:id="rId245"/>
    <hyperlink ref="B252" r:id="rId246"/>
    <hyperlink ref="B253" r:id="rId247"/>
    <hyperlink ref="B254" r:id="rId248"/>
    <hyperlink ref="B255" r:id="rId249"/>
    <hyperlink ref="B256" r:id="rId250"/>
    <hyperlink ref="B257" r:id="rId251"/>
    <hyperlink ref="B258" r:id="rId252"/>
    <hyperlink ref="B259" r:id="rId253"/>
    <hyperlink ref="B260" r:id="rId254"/>
    <hyperlink ref="B261" r:id="rId255"/>
    <hyperlink ref="B262" r:id="rId256"/>
    <hyperlink ref="B263" r:id="rId257"/>
    <hyperlink ref="B264" r:id="rId258"/>
    <hyperlink ref="B265" r:id="rId259"/>
    <hyperlink ref="B266" r:id="rId260"/>
    <hyperlink ref="B267" r:id="rId261"/>
    <hyperlink ref="B268" r:id="rId262"/>
    <hyperlink ref="B269" r:id="rId263"/>
    <hyperlink ref="B270" r:id="rId264"/>
    <hyperlink ref="B271" r:id="rId265"/>
    <hyperlink ref="B272" r:id="rId266"/>
    <hyperlink ref="B273" r:id="rId267"/>
    <hyperlink ref="B274" r:id="rId268"/>
    <hyperlink ref="B275" r:id="rId269"/>
    <hyperlink ref="B276" r:id="rId270"/>
    <hyperlink ref="B277" r:id="rId271"/>
    <hyperlink ref="B278" r:id="rId272"/>
    <hyperlink ref="B279" r:id="rId273"/>
    <hyperlink ref="B280" r:id="rId274"/>
    <hyperlink ref="B281" r:id="rId275"/>
    <hyperlink ref="B282" r:id="rId276"/>
    <hyperlink ref="B283" r:id="rId277"/>
    <hyperlink ref="B284" r:id="rId278"/>
    <hyperlink ref="B285" r:id="rId279"/>
    <hyperlink ref="B286" r:id="rId280"/>
    <hyperlink ref="B287" r:id="rId281"/>
    <hyperlink ref="B288" r:id="rId282"/>
    <hyperlink ref="B289" r:id="rId283"/>
    <hyperlink ref="B290" r:id="rId284"/>
    <hyperlink ref="B291" r:id="rId285"/>
    <hyperlink ref="B292" r:id="rId286"/>
    <hyperlink ref="B293" r:id="rId287"/>
    <hyperlink ref="B294" r:id="rId288"/>
    <hyperlink ref="B297" r:id="rId289"/>
    <hyperlink ref="B298" r:id="rId290"/>
    <hyperlink ref="B299" r:id="rId291"/>
    <hyperlink ref="B300" r:id="rId292"/>
    <hyperlink ref="B301" r:id="rId293"/>
    <hyperlink ref="B302" r:id="rId294"/>
    <hyperlink ref="B303" r:id="rId295"/>
    <hyperlink ref="B304" r:id="rId296"/>
    <hyperlink ref="B305" r:id="rId297"/>
    <hyperlink ref="B306" r:id="rId298"/>
    <hyperlink ref="B307" r:id="rId299"/>
    <hyperlink ref="B308" r:id="rId300"/>
    <hyperlink ref="B309" r:id="rId301"/>
    <hyperlink ref="B310" r:id="rId302"/>
    <hyperlink ref="B311" r:id="rId303"/>
    <hyperlink ref="B312" r:id="rId304"/>
    <hyperlink ref="B313" r:id="rId305"/>
    <hyperlink ref="B314" r:id="rId306"/>
    <hyperlink ref="B315" r:id="rId307"/>
    <hyperlink ref="B316" r:id="rId308"/>
    <hyperlink ref="B317" r:id="rId309"/>
    <hyperlink ref="B318" r:id="rId310"/>
    <hyperlink ref="B319" r:id="rId311"/>
    <hyperlink ref="B320" r:id="rId312"/>
    <hyperlink ref="B321" r:id="rId313"/>
    <hyperlink ref="B322" r:id="rId314"/>
    <hyperlink ref="B323" r:id="rId315"/>
    <hyperlink ref="B324" r:id="rId316"/>
    <hyperlink ref="B325" r:id="rId317"/>
    <hyperlink ref="B326" r:id="rId318"/>
    <hyperlink ref="B327" r:id="rId319"/>
    <hyperlink ref="B328" r:id="rId320"/>
    <hyperlink ref="B329" r:id="rId321"/>
    <hyperlink ref="B330" r:id="rId322"/>
    <hyperlink ref="B331" r:id="rId323"/>
    <hyperlink ref="B332" r:id="rId324"/>
    <hyperlink ref="B333" r:id="rId325"/>
    <hyperlink ref="B334" r:id="rId326"/>
    <hyperlink ref="B335" r:id="rId327"/>
    <hyperlink ref="B336" r:id="rId328"/>
    <hyperlink ref="B337" r:id="rId329"/>
    <hyperlink ref="B338" r:id="rId330"/>
    <hyperlink ref="B339" r:id="rId331"/>
    <hyperlink ref="B340" r:id="rId332"/>
    <hyperlink ref="B341" r:id="rId333"/>
    <hyperlink ref="B342" r:id="rId334"/>
    <hyperlink ref="B343" r:id="rId335"/>
    <hyperlink ref="B344" r:id="rId336"/>
    <hyperlink ref="B345" r:id="rId337"/>
    <hyperlink ref="B346" r:id="rId338"/>
    <hyperlink ref="B347" r:id="rId339"/>
    <hyperlink ref="B348" r:id="rId340"/>
    <hyperlink ref="B349" r:id="rId341"/>
    <hyperlink ref="B350" r:id="rId342"/>
    <hyperlink ref="B351" r:id="rId343"/>
    <hyperlink ref="B352" r:id="rId344"/>
    <hyperlink ref="B353" r:id="rId345"/>
    <hyperlink ref="B354" r:id="rId346"/>
    <hyperlink ref="B355" r:id="rId347"/>
    <hyperlink ref="B356" r:id="rId348"/>
    <hyperlink ref="B357" r:id="rId349"/>
    <hyperlink ref="B358" r:id="rId350"/>
    <hyperlink ref="B359" r:id="rId351"/>
    <hyperlink ref="B360" r:id="rId352"/>
    <hyperlink ref="B361" r:id="rId353"/>
    <hyperlink ref="B362" r:id="rId354"/>
    <hyperlink ref="B363" r:id="rId355"/>
    <hyperlink ref="B364" r:id="rId356"/>
    <hyperlink ref="B365" r:id="rId357"/>
    <hyperlink ref="B366" r:id="rId358"/>
    <hyperlink ref="B367" r:id="rId359"/>
    <hyperlink ref="B368" r:id="rId360"/>
    <hyperlink ref="B369" r:id="rId361"/>
    <hyperlink ref="B370" r:id="rId362"/>
    <hyperlink ref="B371" r:id="rId363"/>
    <hyperlink ref="B372" r:id="rId364" location="OP" display="https://www.laopinion.com.co/mundo/colombiana-fue-asesinada-por-su-esposo-en-una-notaria-de-chile-120784 - OP"/>
    <hyperlink ref="B373" r:id="rId365"/>
    <hyperlink ref="B374" r:id="rId366"/>
    <hyperlink ref="B375" r:id="rId367"/>
    <hyperlink ref="B376" r:id="rId368"/>
    <hyperlink ref="B377" r:id="rId369"/>
    <hyperlink ref="B378" r:id="rId370"/>
    <hyperlink ref="B379" r:id="rId371"/>
    <hyperlink ref="B380" r:id="rId372"/>
    <hyperlink ref="B381" r:id="rId373"/>
    <hyperlink ref="B382" r:id="rId374"/>
    <hyperlink ref="B383" r:id="rId375"/>
    <hyperlink ref="B384" r:id="rId376"/>
    <hyperlink ref="B386" r:id="rId377"/>
    <hyperlink ref="B387" r:id="rId378"/>
    <hyperlink ref="B388" r:id="rId379"/>
    <hyperlink ref="B389" r:id="rId380"/>
    <hyperlink ref="B390" r:id="rId381"/>
    <hyperlink ref="B391" r:id="rId382"/>
    <hyperlink ref="B392" r:id="rId383"/>
    <hyperlink ref="B393" r:id="rId384"/>
    <hyperlink ref="B394" r:id="rId385"/>
    <hyperlink ref="B395" r:id="rId386"/>
    <hyperlink ref="B396" r:id="rId387"/>
    <hyperlink ref="B397" r:id="rId388"/>
    <hyperlink ref="B398" r:id="rId389"/>
    <hyperlink ref="B399" r:id="rId390"/>
    <hyperlink ref="B400" r:id="rId391"/>
    <hyperlink ref="B401" r:id="rId392"/>
    <hyperlink ref="B402" r:id="rId393"/>
    <hyperlink ref="B403" r:id="rId394"/>
    <hyperlink ref="B404" r:id="rId395"/>
    <hyperlink ref="B405" r:id="rId396"/>
    <hyperlink ref="B406" r:id="rId397"/>
    <hyperlink ref="B407" r:id="rId398"/>
    <hyperlink ref="B408" r:id="rId399"/>
    <hyperlink ref="B409" r:id="rId400"/>
  </hyperlinks>
  <pageMargins left="0.7" right="0.7" top="0.75" bottom="0.75" header="0.3" footer="0.3"/>
  <pageSetup orientation="portrait" verticalDpi="300" r:id="rId40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9"/>
  <sheetViews>
    <sheetView workbookViewId="0">
      <selection activeCell="F3" sqref="F3"/>
    </sheetView>
  </sheetViews>
  <sheetFormatPr baseColWidth="10" defaultRowHeight="15"/>
  <sheetData>
    <row r="1" spans="1:6" ht="15.75" thickBot="1">
      <c r="A1" s="43" t="s">
        <v>1118</v>
      </c>
      <c r="B1" s="19" t="s">
        <v>937</v>
      </c>
      <c r="C1" s="45" t="s">
        <v>1119</v>
      </c>
      <c r="D1" s="46" t="s">
        <v>739</v>
      </c>
      <c r="E1" s="46" t="s">
        <v>1120</v>
      </c>
      <c r="F1" s="6"/>
    </row>
    <row r="2" spans="1:6" ht="75.75" thickBot="1">
      <c r="A2" s="1" t="s">
        <v>0</v>
      </c>
      <c r="B2" s="47">
        <v>42755</v>
      </c>
      <c r="C2" s="5" t="s">
        <v>1121</v>
      </c>
      <c r="D2" s="46" t="s">
        <v>1122</v>
      </c>
      <c r="E2" s="48" t="s">
        <v>1123</v>
      </c>
      <c r="F2" t="str">
        <f>"INSERT INTO fuente(direccion,fecha,Titulo, Nombre, Raiz) VALUES (' "&amp;A2&amp;" ',' "&amp;B2&amp;" ',' "&amp;C2&amp;" ',' "&amp;D2&amp;" ',' "&amp;E2&amp;" '); "</f>
        <v xml:space="preserve">INSERT INTO fuente(direccion,fecha,Titulo, Nombre, Raiz) VALUES (' http://elproa.cl/web/detallenoticia.asp?id=21793 ',' 42755 ',' Nuevo femidicio estremece a San Antonio ',' elproa ',' elproa.cl '); </v>
      </c>
    </row>
    <row r="3" spans="1:6" ht="150.75" thickBot="1">
      <c r="A3" s="1" t="s">
        <v>1</v>
      </c>
      <c r="B3" s="49"/>
      <c r="C3" s="50" t="s">
        <v>1124</v>
      </c>
      <c r="D3" s="46" t="s">
        <v>1125</v>
      </c>
      <c r="E3" s="48" t="s">
        <v>1126</v>
      </c>
      <c r="F3" t="str">
        <f t="shared" ref="F3:F67" si="0">"INSERT INTO fuente(direccion,fecha,Titulo, Nombre, Raiz) VALUES (' "&amp;A3&amp;" ',' "&amp;B3&amp;" ',' "&amp;C3&amp;" ',' "&amp;D3&amp;" ',' "&amp;E3&amp;" '); "</f>
        <v xml:space="preserve">INSERT INTO fuente(direccion,fecha,Titulo, Nombre, Raiz) VALUES (' http://www.cablenoticias.cl/en-llolleo-un-hombre-asesino-a-su-mujer-y-luego-se-quito-la-vida ','  ',' en-llolleo-un-hombre-asesino-a-su-mujer-y-luego-se-quito-la-vida ',' cablenoticias ',' cablenoticias.cl '); </v>
      </c>
    </row>
    <row r="4" spans="1:6" ht="120.75" thickBot="1">
      <c r="A4" s="1" t="s">
        <v>2</v>
      </c>
      <c r="B4" s="47">
        <v>42760</v>
      </c>
      <c r="C4" s="51" t="s">
        <v>1127</v>
      </c>
      <c r="D4" s="46" t="s">
        <v>1128</v>
      </c>
      <c r="E4" s="48" t="s">
        <v>1129</v>
      </c>
      <c r="F4" t="str">
        <f t="shared" si="0"/>
        <v xml:space="preserve">INSERT INTO fuente(direccion,fecha,Titulo, Nombre, Raiz) VALUES (' http://www.latercera.com/noticia/buscan-presunto-autor-femicidio-melipilla/ ',' 42760 ',' Buscan a presunto autor de femicidio de Melipilla ',' latercera ',' latercera.com '); </v>
      </c>
    </row>
    <row r="5" spans="1:6" ht="165.75" thickBot="1">
      <c r="A5" s="1" t="s">
        <v>3</v>
      </c>
      <c r="B5" s="47">
        <v>42761</v>
      </c>
      <c r="C5" s="51" t="s">
        <v>1130</v>
      </c>
      <c r="D5" s="46" t="s">
        <v>1131</v>
      </c>
      <c r="E5" s="48" t="s">
        <v>1132</v>
      </c>
      <c r="F5" t="str">
        <f t="shared" si="0"/>
        <v xml:space="preserve">INSERT INTO fuente(direccion,fecha,Titulo, Nombre, Raiz) VALUES (' https://www.eldeber.com.bo/mundo/Boliviana-primera-victima-de-feminicidio-en-Chile-en-2017--20170126-0034.html ',' 42761 ',' Boliviana, primera víctima de feminicidio en Chile ',' eldeber ',' eldeber.com.bo '); </v>
      </c>
    </row>
    <row r="6" spans="1:6" ht="120.75" thickBot="1">
      <c r="A6" s="1" t="s">
        <v>4</v>
      </c>
      <c r="B6" s="47">
        <v>42762</v>
      </c>
      <c r="C6" s="51" t="s">
        <v>1133</v>
      </c>
      <c r="D6" s="46" t="s">
        <v>1134</v>
      </c>
      <c r="E6" s="48" t="s">
        <v>1135</v>
      </c>
      <c r="F6" t="str">
        <f t="shared" si="0"/>
        <v xml:space="preserve">INSERT INTO fuente(direccion,fecha,Titulo, Nombre, Raiz) VALUES (' http://eju.tv/2017/01/feminicida-confiesa-en-sucre-que-mato-a-su-esposa-en-chile/ ',' 42762 ',' Feminicida confiesa en Sucre que mató a su esposa en Chile ',' eju ',' eju.tv '); </v>
      </c>
    </row>
    <row r="7" spans="1:6" ht="240.75" thickBot="1">
      <c r="A7" s="1" t="s">
        <v>5</v>
      </c>
      <c r="B7" s="52">
        <v>42760</v>
      </c>
      <c r="C7" s="51" t="s">
        <v>1136</v>
      </c>
      <c r="D7" s="46" t="s">
        <v>1137</v>
      </c>
      <c r="E7" s="48" t="s">
        <v>1138</v>
      </c>
      <c r="F7" t="str">
        <f t="shared" si="0"/>
        <v xml:space="preserve">INSERT INTO fuente(direccion,fecha,Titulo, Nombre, Raiz) VALUES (' http://www.cooperativa.cl/noticias/pais/policial/femicidio/pdi-busca-a-pareja-e-hija-de-mujer-asesinada-en-melipilla/2017-01-25/151234.html ',' 42760 ',' PDI busca a pareja e hija de mujer asesinada en Melipilla ',' cooperativa ',' cooperativa.cl '); </v>
      </c>
    </row>
    <row r="8" spans="1:6" ht="240.75" thickBot="1">
      <c r="A8" s="1" t="s">
        <v>6</v>
      </c>
      <c r="B8" s="52">
        <v>42762</v>
      </c>
      <c r="C8" s="51" t="s">
        <v>1139</v>
      </c>
      <c r="D8" s="46" t="s">
        <v>1137</v>
      </c>
      <c r="E8" s="48" t="s">
        <v>1138</v>
      </c>
      <c r="F8" t="str">
        <f t="shared" si="0"/>
        <v xml:space="preserve">INSERT INTO fuente(direccion,fecha,Titulo, Nombre, Raiz) VALUES (' http://www.cooperativa.cl/noticias/pais/policial/femicidio/pareja-de-mujer-asesinada-en-melipilla-confeso-el-crimen-en-bolivia/2017-01-27/125517.html ',' 42762 ',' Pareja de mujer asesinada en Melipilla confesó el crimen en Bolivia ',' cooperativa ',' cooperativa.cl '); </v>
      </c>
    </row>
    <row r="9" spans="1:6" ht="180.75" thickBot="1">
      <c r="A9" s="1" t="s">
        <v>7</v>
      </c>
      <c r="B9" s="52">
        <v>42761</v>
      </c>
      <c r="C9" s="51" t="s">
        <v>1140</v>
      </c>
      <c r="D9" s="46" t="s">
        <v>1141</v>
      </c>
      <c r="E9" s="48" t="s">
        <v>1142</v>
      </c>
      <c r="F9" t="str">
        <f t="shared" si="0"/>
        <v xml:space="preserve">INSERT INTO fuente(direccion,fecha,Titulo, Nombre, Raiz) VALUES (' http://www.la-razon.com/sociedad/Chile-boliviana-primera-victima-feminicidio-2017_0_2644535562.html ',' 42761 ',' Una boliviana es la primera víctima de feminicidio en Chile en 2017 ',' la-razon ',' la-razon.com '); </v>
      </c>
    </row>
    <row r="10" spans="1:6" ht="210.75" thickBot="1">
      <c r="A10" s="1" t="s">
        <v>8</v>
      </c>
      <c r="B10" s="52">
        <v>42761</v>
      </c>
      <c r="C10" s="51" t="s">
        <v>1143</v>
      </c>
      <c r="D10" s="46" t="s">
        <v>1144</v>
      </c>
      <c r="E10" s="53" t="s">
        <v>1145</v>
      </c>
      <c r="F10" t="str">
        <f t="shared" si="0"/>
        <v xml:space="preserve">INSERT INTO fuente(direccion,fecha,Titulo, Nombre, Raiz) VALUES (' https://www.noticiasfides.com/nacional/seguridad/la-primera-victima-de-feminicidio-en-chile-en-lo-que-va-del-ano-es-una-boliviana-374886 ',' 42761 ',' Feminicida de boliviana en Chile se entrega a la policía ',' noticiasfides ',' noticiasfides.com '); </v>
      </c>
    </row>
    <row r="11" spans="1:6" ht="180.75" thickBot="1">
      <c r="A11" s="1" t="s">
        <v>9</v>
      </c>
      <c r="B11" s="6"/>
      <c r="C11" s="54"/>
      <c r="D11" s="46" t="s">
        <v>1146</v>
      </c>
      <c r="E11" s="48" t="s">
        <v>1147</v>
      </c>
      <c r="F11" t="str">
        <f t="shared" si="0"/>
        <v xml:space="preserve">INSERT INTO fuente(direccion,fecha,Titulo, Nombre, Raiz) VALUES (' https://docs.google.com/spreadsheets/d/1OY8YymIGJzEYTBVKwpkGE-vDsYz3rKSjNe1TUj3qt40/edit?ts=588a2a74#gid=0 ','  ','  ',' docs ',' docs.google.com '); </v>
      </c>
    </row>
    <row r="12" spans="1:6" ht="165.75" thickBot="1">
      <c r="A12" s="1" t="s">
        <v>10</v>
      </c>
      <c r="B12" s="52">
        <v>42766</v>
      </c>
      <c r="C12" s="51" t="s">
        <v>1148</v>
      </c>
      <c r="D12" s="46" t="s">
        <v>1149</v>
      </c>
      <c r="E12" s="48" t="s">
        <v>1150</v>
      </c>
      <c r="F12" t="str">
        <f t="shared" si="0"/>
        <v xml:space="preserve">INSERT INTO fuente(direccion,fecha,Titulo, Nombre, Raiz) VALUES (' http://www.ntn24.com/video/nuevo-caso-de-feminicidio-en-chile-130962 ',' 42766 ',' Nuevo caso de feminicidio: colombiana es asesinada por su expareja en Santiago de Chile ',' ntn24 ',' ntn24.com '); </v>
      </c>
    </row>
    <row r="13" spans="1:6" ht="165.75" thickBot="1">
      <c r="A13" s="1" t="s">
        <v>11</v>
      </c>
      <c r="B13" s="52">
        <v>42766</v>
      </c>
      <c r="C13" s="5" t="s">
        <v>1151</v>
      </c>
      <c r="D13" s="46" t="s">
        <v>1152</v>
      </c>
      <c r="E13" s="48" t="s">
        <v>1153</v>
      </c>
      <c r="F13" t="str">
        <f t="shared" si="0"/>
        <v xml:space="preserve">INSERT INTO fuente(direccion,fecha,Titulo, Nombre, Raiz) VALUES (' http://www.noticiasrcn.com/videos/colombiana-habria-sido-asesinada-su-expareja-tambien-colombiano-chile ',' 42766 ',' Colombiana habría sido asesinada por su expareja, también colombiano, en Chile ',' noticiasrcn ',' noticiasrcn.com '); </v>
      </c>
    </row>
    <row r="14" spans="1:6" ht="300.75" thickBot="1">
      <c r="A14" s="1" t="s">
        <v>12</v>
      </c>
      <c r="B14" s="52">
        <v>42764</v>
      </c>
      <c r="C14" s="51" t="s">
        <v>1154</v>
      </c>
      <c r="D14" s="46" t="s">
        <v>1155</v>
      </c>
      <c r="E14" s="48" t="s">
        <v>1156</v>
      </c>
      <c r="F14" t="str">
        <f t="shared" si="0"/>
        <v xml:space="preserve">INSERT INTO fuente(direccion,fecha,Titulo, Nombre, Raiz) VALUES (' http://www.minmujeryeg.cl/prensa/noticias-prensa/no-queremos-las-mujeres-migrantes-se-sientan-desprotegidas-necesitamos-se-atrevan-denunciar-cuando-estan-viviendo-violencia/ ',' 42764 ',' No queremos que las mujeres migrantes se sientan desprotegidas necesitamos se atrevan a denunciar cuando estan viviendo violencia ',' minmujeryeg ',' minmujeryeg.cl '); </v>
      </c>
    </row>
    <row r="15" spans="1:6" ht="210.75" thickBot="1">
      <c r="A15" s="1" t="s">
        <v>13</v>
      </c>
      <c r="B15" s="52">
        <v>42775</v>
      </c>
      <c r="C15" s="51" t="s">
        <v>1157</v>
      </c>
      <c r="D15" s="46" t="s">
        <v>1158</v>
      </c>
      <c r="E15" s="48" t="s">
        <v>1159</v>
      </c>
      <c r="F15" t="str">
        <f t="shared" si="0"/>
        <v xml:space="preserve">INSERT INTO fuente(direccion,fecha,Titulo, Nombre, Raiz) VALUES (' http://www.eldesconcierto.cl/2017/02/09/femicidio-en-san-bernardo-es-el-septimo-perpetrado-durante-los-primeros-meses-de-2017/ ',' 42775 ',' Femicidio en san bernardo es el septimo perpretrado durante los primeros meses de 2017 ',' eldesconcierto ',' eldesconcierto.cl '); </v>
      </c>
    </row>
    <row r="16" spans="1:6" ht="210.75" thickBot="1">
      <c r="A16" s="1" t="s">
        <v>14</v>
      </c>
      <c r="B16" s="52">
        <v>42773</v>
      </c>
      <c r="C16" s="51" t="s">
        <v>1160</v>
      </c>
      <c r="D16" s="46" t="s">
        <v>1161</v>
      </c>
      <c r="E16" s="53" t="s">
        <v>1162</v>
      </c>
      <c r="F16" t="str">
        <f t="shared" si="0"/>
        <v xml:space="preserve">INSERT INTO fuente(direccion,fecha,Titulo, Nombre, Raiz) VALUES (' https://www.araucaniacuenta.cl/ministra-s-perez-condeno-energicamente-el-femicidio-de-carmen-vazquez-de-la-comuna-de-san-javier/ ',' 42773 ',' Ministra (s) Pérez condenó enérgicamente el femicidio de Cármen Vázquez de la comuna de San Javier ',' araucaniacuenta ',' araucaniacuenta.cl '); </v>
      </c>
    </row>
    <row r="17" spans="1:6" ht="150.75" thickBot="1">
      <c r="A17" s="1" t="s">
        <v>15</v>
      </c>
      <c r="B17" s="52">
        <v>42772</v>
      </c>
      <c r="C17" s="51" t="s">
        <v>1163</v>
      </c>
      <c r="D17" s="46" t="s">
        <v>1164</v>
      </c>
      <c r="E17" s="48" t="s">
        <v>1165</v>
      </c>
      <c r="F17" t="str">
        <f t="shared" si="0"/>
        <v xml:space="preserve">INSERT INTO fuente(direccion,fecha,Titulo, Nombre, Raiz) VALUES (' http://www.diarioelcentro.cl/noticias/policial/primer-femicidio-del-ano-se-registro-ayer-en-carrizal ',' 42772 ',' Primer femicidio del año se registró ayer en Carrizal ',' diarioelcentro ',' diarioelcentro.cl '); </v>
      </c>
    </row>
    <row r="18" spans="1:6" ht="135.75" thickBot="1">
      <c r="A18" s="1" t="s">
        <v>16</v>
      </c>
      <c r="B18" s="52">
        <v>42772</v>
      </c>
      <c r="C18" s="51" t="s">
        <v>1166</v>
      </c>
      <c r="D18" s="46" t="s">
        <v>1167</v>
      </c>
      <c r="E18" s="48" t="s">
        <v>1168</v>
      </c>
      <c r="F18" t="str">
        <f t="shared" si="0"/>
        <v xml:space="preserve">INSERT INTO fuente(direccion,fecha,Titulo, Nombre, Raiz) VALUES (' http://lanacion.cl/2017/02/06/ministra-s-de-la-mujer-repudio-femicidio-de-carmen-vasquez/ ',' 42772 ',' MINISTRA (S) DE LA MUJER REPUDIÓ FEMICIDIO DE CARMEN VÁSQUEZ ',' lanacion ',' lanacion.cl '); </v>
      </c>
    </row>
    <row r="19" spans="1:6" ht="165.75" thickBot="1">
      <c r="A19" s="1" t="s">
        <v>17</v>
      </c>
      <c r="B19" s="6" t="s">
        <v>1169</v>
      </c>
      <c r="C19" s="54" t="s">
        <v>1169</v>
      </c>
      <c r="D19" s="46" t="s">
        <v>1170</v>
      </c>
      <c r="E19" s="48" t="s">
        <v>1171</v>
      </c>
      <c r="F19" t="str">
        <f t="shared" si="0"/>
        <v xml:space="preserve">INSERT INTO fuente(direccion,fecha,Titulo, Nombre, Raiz) VALUES (' http://www.edicioncero.cl/2017/02/ministerio-de-la-mujer-el-femicidio-es-un-crimen-que-se-puede-evitar/ ',' ENLACE DAÑADO ',' ENLACE DAÑADO ',' edicioncero ',' edicioncero.cl '); </v>
      </c>
    </row>
    <row r="20" spans="1:6" ht="165.75" thickBot="1">
      <c r="A20" s="1" t="s">
        <v>18</v>
      </c>
      <c r="B20" s="52">
        <v>42771</v>
      </c>
      <c r="C20" s="51" t="s">
        <v>1172</v>
      </c>
      <c r="D20" s="46" t="s">
        <v>1173</v>
      </c>
      <c r="E20" s="48" t="s">
        <v>1174</v>
      </c>
      <c r="F20" t="str">
        <f t="shared" si="0"/>
        <v xml:space="preserve">INSERT INTO fuente(direccion,fecha,Titulo, Nombre, Raiz) VALUES (' http://www.atentos.cl/2017/02/05/brutal-femicidio-sujeto-mata-esposa-golpe-hacha-la-cabeza/ ',' 42771 ',' BRUTAL FEMICIDIO; SUJETO MATA A SU ESPOSA CON UN GOLPE DE HACHA EN LA CABEZA ',' atentos ',' atentos.cl '); </v>
      </c>
    </row>
    <row r="21" spans="1:6" ht="285.75" thickBot="1">
      <c r="A21" s="1" t="s">
        <v>19</v>
      </c>
      <c r="B21" s="52">
        <v>42775</v>
      </c>
      <c r="C21" s="51" t="s">
        <v>1175</v>
      </c>
      <c r="D21" s="46" t="s">
        <v>1176</v>
      </c>
      <c r="E21" s="48" t="s">
        <v>1177</v>
      </c>
      <c r="F21" t="str">
        <f t="shared" si="0"/>
        <v xml:space="preserve">INSERT INTO fuente(direccion,fecha,Titulo, Nombre, Raiz) VALUES (' http://www.biobiochile.cl/noticias/nacional/region-metropolitana/2017/02/09/ministra-de-la-mujer-s-y-femicidio-en-san-bernardo-urge-un-cambio-cultural-entre-todos.shtml ',' 42775 ',' Ministra de la Mujer (s) y femicidio en San Bernardo: urge un cambio cultural entre todos ',' biobiochile ',' biobiochile.cl '); </v>
      </c>
    </row>
    <row r="22" spans="1:6" ht="150.75" thickBot="1">
      <c r="A22" s="1" t="s">
        <v>20</v>
      </c>
      <c r="B22" s="52">
        <v>42775</v>
      </c>
      <c r="C22" s="51" t="s">
        <v>1178</v>
      </c>
      <c r="D22" s="46" t="s">
        <v>1179</v>
      </c>
      <c r="E22" s="48" t="s">
        <v>1180</v>
      </c>
      <c r="F22" t="str">
        <f t="shared" si="0"/>
        <v xml:space="preserve">INSERT INTO fuente(direccion,fecha,Titulo, Nombre, Raiz) VALUES (' http://www.t13.cl/noticia/nacional/Femicidio-Mujer-de-26-anos-muere-por-un-disparo-en-San-Bernardo ',' 42775 ',' Femicidio: Mujer de 26 años muere por disparo en San Bernardo ',' t13 ',' t13.cl '); </v>
      </c>
    </row>
    <row r="23" spans="1:6" ht="135.75" thickBot="1">
      <c r="A23" s="1" t="s">
        <v>21</v>
      </c>
      <c r="B23" s="52">
        <v>42974</v>
      </c>
      <c r="C23" s="51" t="s">
        <v>1181</v>
      </c>
      <c r="D23" s="46" t="s">
        <v>1182</v>
      </c>
      <c r="E23" s="48" t="s">
        <v>1183</v>
      </c>
      <c r="F23" t="str">
        <f t="shared" si="0"/>
        <v xml:space="preserve">INSERT INTO fuente(direccion,fecha,Titulo, Nombre, Raiz) VALUES (' http://www.diarioeldia.cl/pais/hombre-asesina-su-expareja-se-suicida-en-plena-publica ',' 42974 ',' Hombre asesina a su expareja y se suicida en plena vía pública ',' diarioeldia ',' diarioeldia.cl '); </v>
      </c>
    </row>
    <row r="24" spans="1:6" ht="210.75" thickBot="1">
      <c r="A24" s="1" t="s">
        <v>22</v>
      </c>
      <c r="B24" s="52">
        <v>42775</v>
      </c>
      <c r="C24" s="51" t="s">
        <v>1184</v>
      </c>
      <c r="D24" s="46" t="s">
        <v>1185</v>
      </c>
      <c r="E24" s="48" t="s">
        <v>1186</v>
      </c>
      <c r="F24" t="str">
        <f t="shared" si="0"/>
        <v xml:space="preserve">INSERT INTO fuente(direccion,fecha,Titulo, Nombre, Raiz) VALUES (' http://www.chvnoticias.cl/policial/nuevo-femicidio-mujer-de-26-anos-murio-por-impactos-de-bala/2017-02-09/002344.html ',' 42775 ',' Nuevo femicidio: Mujer de 26 años murió por impactos de bala ',' chvnoticias ',' chvnoticias.cl '); </v>
      </c>
    </row>
    <row r="25" spans="1:6" ht="135.75" thickBot="1">
      <c r="A25" s="2" t="s">
        <v>23</v>
      </c>
      <c r="B25" s="52">
        <v>42781</v>
      </c>
      <c r="C25" s="51" t="s">
        <v>1187</v>
      </c>
      <c r="D25" s="46" t="s">
        <v>1128</v>
      </c>
      <c r="E25" s="48" t="s">
        <v>1129</v>
      </c>
      <c r="F25" t="str">
        <f t="shared" si="0"/>
        <v xml:space="preserve">INSERT INTO fuente(direccion,fecha,Titulo, Nombre, Raiz) VALUES (' http://www.latercera.com/noticia/indagan-posible-femicidio-posterior-suicidio-la-pintana/ ',' 42781 ',' Indagan posible femicidio y posterior suicidio en La Pintana ',' latercera ',' latercera.com '); </v>
      </c>
    </row>
    <row r="26" spans="1:6" ht="255.75" thickBot="1">
      <c r="A26" s="2" t="s">
        <v>24</v>
      </c>
      <c r="B26" s="52">
        <v>42781</v>
      </c>
      <c r="C26" s="51" t="s">
        <v>1188</v>
      </c>
      <c r="D26" s="46" t="s">
        <v>1137</v>
      </c>
      <c r="E26" s="48" t="s">
        <v>1138</v>
      </c>
      <c r="F26" t="str">
        <f t="shared" si="0"/>
        <v xml:space="preserve">INSERT INTO fuente(direccion,fecha,Titulo, Nombre, Raiz) VALUES (' http://www.cooperativa.cl/noticias/pais/policial/femicidio/joven-viajo-a-santiago-para-pasar-con-su-pololo-el-dia-del-amor-y-este/2017-02-15/072049.html ',' 42781 ',' Joven viajó a Santiago para pasar con su pololo el Día del Amor y éste la mató ',' cooperativa ',' cooperativa.cl '); </v>
      </c>
    </row>
    <row r="27" spans="1:6" ht="180.75" thickBot="1">
      <c r="A27" s="2" t="s">
        <v>25</v>
      </c>
      <c r="B27" s="52">
        <v>42781</v>
      </c>
      <c r="C27" s="51" t="s">
        <v>1189</v>
      </c>
      <c r="D27" s="46" t="s">
        <v>1190</v>
      </c>
      <c r="E27" s="48" t="s">
        <v>1191</v>
      </c>
      <c r="F27" t="str">
        <f t="shared" si="0"/>
        <v xml:space="preserve">INSERT INTO fuente(direccion,fecha,Titulo, Nombre, Raiz) VALUES (' http://www.adnradio.cl/noticias/nacional/investigan-posible-femicidio-en-la-pintana/20170215/nota/3384238.aspx ',' 42781 ',' Investigan posible femicidio en La Pintana ',' adnradio ',' adnradio.cl '); </v>
      </c>
    </row>
    <row r="28" spans="1:6" ht="165.75" thickBot="1">
      <c r="A28" s="2" t="s">
        <v>26</v>
      </c>
      <c r="B28" s="52">
        <v>42781</v>
      </c>
      <c r="C28" s="51" t="s">
        <v>1192</v>
      </c>
      <c r="D28" s="46" t="s">
        <v>1193</v>
      </c>
      <c r="E28" s="48" t="s">
        <v>1194</v>
      </c>
      <c r="F28" t="str">
        <f t="shared" si="0"/>
        <v xml:space="preserve">INSERT INTO fuente(direccion,fecha,Titulo, Nombre, Raiz) VALUES (' http://www.24horas.cl/nacional/la-celebracion-previa-a-la-muerte-de-joven-pareja-en-la-pintana-2301666 ',' 42781 ',' La celebración previa a la muerte de joven pareja en La Pintana ',' 24horas ',' 24horas.cl '); </v>
      </c>
    </row>
    <row r="29" spans="1:6" ht="135.75" thickBot="1">
      <c r="A29" s="2" t="s">
        <v>27</v>
      </c>
      <c r="B29" s="52">
        <v>42781</v>
      </c>
      <c r="C29" s="51" t="s">
        <v>1187</v>
      </c>
      <c r="D29" s="46" t="s">
        <v>1195</v>
      </c>
      <c r="E29" s="46" t="s">
        <v>1196</v>
      </c>
      <c r="F29" t="str">
        <f t="shared" si="0"/>
        <v xml:space="preserve">INSERT INTO fuente(direccion,fecha,Titulo, Nombre, Raiz) VALUES (' https://eldiario.news/nacional/indagan_posible_femicidio_y_posterior_suicidio_en_la_pintana ',' 42781 ',' Indagan posible femicidio y posterior suicidio en La Pintana ',' eldiario ',' eldiario.news '); </v>
      </c>
    </row>
    <row r="30" spans="1:6" ht="150.75" thickBot="1">
      <c r="A30" s="1" t="s">
        <v>28</v>
      </c>
      <c r="B30" s="52">
        <v>42789</v>
      </c>
      <c r="C30" s="51" t="s">
        <v>1197</v>
      </c>
      <c r="D30" s="46" t="s">
        <v>1158</v>
      </c>
      <c r="E30" s="48" t="s">
        <v>1159</v>
      </c>
      <c r="F30" t="str">
        <f t="shared" si="0"/>
        <v xml:space="preserve">INSERT INTO fuente(direccion,fecha,Titulo, Nombre, Raiz) VALUES (' http://www.eldesconcierto.cl/2017/02/23/investigan-posible-femicidio-la-comuna-pemuco/ ',' 42789 ',' Cónyuge se suicidó: Investigan posible femicidio de mujer de 34 años en la comuna de Pemuco ',' eldesconcierto ',' eldesconcierto.cl '); </v>
      </c>
    </row>
    <row r="31" spans="1:6" ht="180.75" thickBot="1">
      <c r="A31" s="1" t="s">
        <v>29</v>
      </c>
      <c r="B31" s="55">
        <v>42789</v>
      </c>
      <c r="C31" s="51" t="s">
        <v>1198</v>
      </c>
      <c r="D31" s="46" t="s">
        <v>1199</v>
      </c>
      <c r="E31" s="48" t="s">
        <v>1200</v>
      </c>
      <c r="F31" t="str">
        <f t="shared" si="0"/>
        <v xml:space="preserve">INSERT INTO fuente(direccion,fecha,Titulo, Nombre, Raiz) VALUES (' http://www.ladiscusion.cl/detalle/10722/Investigan-posible-femicidio-en-la-comuna-de-Pemuco#sthash.OhN0EPbC.dpbs ',' 42789 ',' INVESTIGAN POSIBLE FEMICIDIO EN LA COMUNA DE PEMUCO ',' ladiscusion ',' ladiscusion.cl '); </v>
      </c>
    </row>
    <row r="32" spans="1:6" ht="285.75" thickBot="1">
      <c r="A32" s="1" t="s">
        <v>30</v>
      </c>
      <c r="B32" s="52">
        <v>42789</v>
      </c>
      <c r="C32" s="51" t="s">
        <v>1201</v>
      </c>
      <c r="D32" s="46" t="s">
        <v>1176</v>
      </c>
      <c r="E32" s="48" t="s">
        <v>1177</v>
      </c>
      <c r="F32" t="str">
        <f t="shared" si="0"/>
        <v xml:space="preserve">INSERT INTO fuente(direccion,fecha,Titulo, Nombre, Raiz) VALUES (' http://www.biobiochile.cl/noticias/nacional/region-del-bio-bio/2017/02/23/formalizaran-a-menor-de-14-anos-por-eventual-participacion-en-asesinato-de-sus-padres.shtml ',' 42789 ',' Formalizarán a menor de 14 años por eventual participación en asesinato de sus padres ',' biobiochile ',' biobiochile.cl '); </v>
      </c>
    </row>
    <row r="33" spans="1:6" ht="225.75" thickBot="1">
      <c r="A33" s="1" t="s">
        <v>31</v>
      </c>
      <c r="B33" s="52">
        <v>42790</v>
      </c>
      <c r="C33" s="51" t="s">
        <v>1202</v>
      </c>
      <c r="D33" s="46" t="s">
        <v>1203</v>
      </c>
      <c r="E33" s="48" t="s">
        <v>1204</v>
      </c>
      <c r="F33" t="str">
        <f t="shared" si="0"/>
        <v xml:space="preserve">INSERT INTO fuente(direccion,fecha,Titulo, Nombre, Raiz) VALUES (' http://www.emol.com/noticias/Nacional/2017/02/24/846536/Autoridades-investigan-hallazgo-de-los-cuerpos-de-un-matrimonio-en-Pemuco.html ',' 42790 ',' Autoridades investigan hallazgo de los cuerpos de un matrimonio en Pemuco ',' emol ',' emol.com '); </v>
      </c>
    </row>
    <row r="34" spans="1:6" ht="180.75" thickBot="1">
      <c r="A34" s="1" t="s">
        <v>32</v>
      </c>
      <c r="B34" s="52">
        <v>42809</v>
      </c>
      <c r="C34" s="51" t="s">
        <v>1205</v>
      </c>
      <c r="D34" s="46" t="s">
        <v>1193</v>
      </c>
      <c r="E34" s="48" t="s">
        <v>1194</v>
      </c>
      <c r="F34" t="str">
        <f t="shared" si="0"/>
        <v xml:space="preserve">INSERT INTO fuente(direccion,fecha,Titulo, Nombre, Raiz) VALUES (' http://www.24horas.cl/nacional/mujer-muere-asesinada-por-ex-pareja-en-el-septimo-femicidio-de-2017-2328768 ',' 42809 ',' Mujer muere asesinada por ex pareja en el séptimo femicidio de 2017 ',' 24horas ',' 24horas.cl '); </v>
      </c>
    </row>
    <row r="35" spans="1:6" ht="180.75" thickBot="1">
      <c r="A35" s="1" t="s">
        <v>33</v>
      </c>
      <c r="B35" s="52">
        <v>42811</v>
      </c>
      <c r="C35" s="51" t="s">
        <v>1206</v>
      </c>
      <c r="D35" s="46" t="s">
        <v>1164</v>
      </c>
      <c r="E35" s="48" t="s">
        <v>1165</v>
      </c>
      <c r="F35" t="str">
        <f t="shared" si="0"/>
        <v xml:space="preserve">INSERT INTO fuente(direccion,fecha,Titulo, Nombre, Raiz) VALUES (' http://www.diarioelcentro.cl/noticias/cronica/femicidio-en-molina-familia-de-victima-exige-un-castigo-ejemplar ',' 42811 ',' Femicidio en Molina: familia de víctima exige un “castigo ejemplar” ',' diarioelcentro ',' diarioelcentro.cl '); </v>
      </c>
    </row>
    <row r="36" spans="1:6" ht="215.25" thickBot="1">
      <c r="A36" s="1" t="s">
        <v>34</v>
      </c>
      <c r="B36" s="56">
        <v>42809</v>
      </c>
      <c r="C36" s="57" t="s">
        <v>1207</v>
      </c>
      <c r="D36" s="46" t="s">
        <v>1195</v>
      </c>
      <c r="E36" s="48" t="s">
        <v>1208</v>
      </c>
      <c r="F36" t="str">
        <f t="shared" si="0"/>
        <v xml:space="preserve">INSERT INTO fuente(direccion,fecha,Titulo, Nombre, Raiz) VALUES (' http://www.eldiario.ec/lamarea/noticias-manta-ecuador/426224-una-joven-de-24-anos-es-la-nueva-victima-de-feminicidio-en-chile/ ',' 42809 ',' Una joven de 24 años es la nueva víctima de feminicidio en Chile ',' eldiario ',' eldiario.ec '); </v>
      </c>
    </row>
    <row r="37" spans="1:6" ht="409.6" thickBot="1">
      <c r="A37" s="1" t="s">
        <v>35</v>
      </c>
      <c r="B37" s="58">
        <v>42811</v>
      </c>
      <c r="C37" s="59" t="s">
        <v>1209</v>
      </c>
      <c r="D37" s="46" t="s">
        <v>1137</v>
      </c>
      <c r="E37" s="48" t="s">
        <v>1138</v>
      </c>
      <c r="F37" t="str">
        <f t="shared" si="0"/>
        <v xml:space="preserve">INSERT INTO fuente(direccion,fecha,Titulo, Nombre, Raiz) VALUES (' http://www.cooperativa.cl/noticias/pais/policial/femicidio/tribunal-decreto-prision-preventiva-para-imputado-por-femicidio-en-molina/2017-03-17/173747.html ',' 42811 ',' Tribunal decretó prisión preventiva para imputado por femicidio en Molina ',' cooperativa ',' cooperativa.cl '); </v>
      </c>
    </row>
    <row r="38" spans="1:6" ht="409.6" thickBot="1">
      <c r="A38" s="1" t="s">
        <v>36</v>
      </c>
      <c r="B38" s="60">
        <v>42824</v>
      </c>
      <c r="C38" s="61" t="s">
        <v>1210</v>
      </c>
      <c r="D38" s="46" t="s">
        <v>1182</v>
      </c>
      <c r="E38" s="48" t="s">
        <v>1183</v>
      </c>
      <c r="F38" t="str">
        <f t="shared" si="0"/>
        <v xml:space="preserve">INSERT INTO fuente(direccion,fecha,Titulo, Nombre, Raiz) VALUES (' http://www.diarioeldia.cl/pais/nuevo-caso-femicidio-hija-menor-encuentra-muertos-sus-padres ',' 42824 ',' Nuevo caso de femicidio: Hija menor encuentra muertos a sus padres ',' diarioeldia ',' diarioeldia.cl '); </v>
      </c>
    </row>
    <row r="39" spans="1:6" ht="409.6" thickBot="1">
      <c r="A39" s="1" t="s">
        <v>37</v>
      </c>
      <c r="B39" s="62">
        <v>42825</v>
      </c>
      <c r="C39" s="63" t="s">
        <v>1211</v>
      </c>
      <c r="D39" s="46" t="s">
        <v>1212</v>
      </c>
      <c r="E39" s="48" t="s">
        <v>1213</v>
      </c>
      <c r="F39" t="str">
        <f t="shared" si="0"/>
        <v xml:space="preserve">INSERT INTO fuente(direccion,fecha,Titulo, Nombre, Raiz) VALUES (' https://www.efe.com/efe/america/sociedad/una-mujer-de-48-anos-es-la-decima-victima-feminicidio-en-chile-2017/20000013-3224955 ',' 42825 ',' Una mujer de 48 años es la décima víctima de feminicidio en Chile en 2017 ',' efe ',' efe.com '); </v>
      </c>
    </row>
    <row r="40" spans="1:6" ht="261.75" thickBot="1">
      <c r="A40" s="1" t="s">
        <v>38</v>
      </c>
      <c r="B40" s="64">
        <v>42823</v>
      </c>
      <c r="C40" s="65" t="s">
        <v>1214</v>
      </c>
      <c r="D40" s="46" t="s">
        <v>1185</v>
      </c>
      <c r="E40" s="48" t="s">
        <v>1186</v>
      </c>
      <c r="F40" t="str">
        <f t="shared" si="0"/>
        <v xml:space="preserve">INSERT INTO fuente(direccion,fecha,Titulo, Nombre, Raiz) VALUES (' http://www.chvnoticias.cl/policial/nuevo-femicidio-hombre-mato-a-su-pareja-y-luego-se-suicido/2017-03-29/212300.html ',' 42823 ',' Nuevo femicidio: Hombre mató a su pareja y luego se suicidó ',' chvnoticias ',' chvnoticias.cl '); </v>
      </c>
    </row>
    <row r="41" spans="1:6" ht="409.6" thickBot="1">
      <c r="A41" s="1" t="s">
        <v>39</v>
      </c>
      <c r="B41" s="58">
        <v>42823</v>
      </c>
      <c r="C41" s="59" t="s">
        <v>1215</v>
      </c>
      <c r="D41" s="46" t="s">
        <v>1137</v>
      </c>
      <c r="E41" s="48" t="s">
        <v>1138</v>
      </c>
      <c r="F41" t="str">
        <f t="shared" si="0"/>
        <v xml:space="preserve">INSERT INTO fuente(direccion,fecha,Titulo, Nombre, Raiz) VALUES (' http://www.cooperativa.cl/noticias/pais/policial/femicidio/un-femicidio-y-posterior-suicidio-quedo-al-descubierto-en-pudahuel/2017-03-29/213635.html ',' 42823 ',' Un femicidio y posterior suicidio quedó al descubierto en Pudahuel ',' cooperativa ',' cooperativa.cl '); </v>
      </c>
    </row>
    <row r="42" spans="1:6" ht="225.75" thickBot="1">
      <c r="A42" s="1" t="s">
        <v>40</v>
      </c>
      <c r="B42" s="66">
        <v>42825</v>
      </c>
      <c r="C42" s="67" t="s">
        <v>1211</v>
      </c>
      <c r="D42" s="46" t="s">
        <v>1216</v>
      </c>
      <c r="E42" s="48" t="s">
        <v>1217</v>
      </c>
      <c r="F42" t="str">
        <f t="shared" si="0"/>
        <v xml:space="preserve">INSERT INTO fuente(direccion,fecha,Titulo, Nombre, Raiz) VALUES (' http://www.wradio.com.co/noticias/internacional/una-mujer-de-48-anos-es-la-decima-victima-de-feminicidio-en-chile-en-2017/20170331/nota/3423708.aspx ',' 42825 ',' Una mujer de 48 años es la décima víctima de feminicidio en Chile en 2017 ',' wradio ',' wradio.com.co '); </v>
      </c>
    </row>
    <row r="43" spans="1:6" ht="234.75" thickBot="1">
      <c r="A43" s="1" t="s">
        <v>41</v>
      </c>
      <c r="B43" s="68">
        <v>42776</v>
      </c>
      <c r="C43" s="69" t="s">
        <v>1218</v>
      </c>
      <c r="D43" s="46" t="s">
        <v>1219</v>
      </c>
      <c r="E43" s="48" t="s">
        <v>1220</v>
      </c>
      <c r="F43" t="str">
        <f t="shared" si="0"/>
        <v xml:space="preserve">INSERT INTO fuente(direccion,fecha,Titulo, Nombre, Raiz) VALUES (' http://www.eldivisadero.cl/noticia-41810 ',' 42776 ',' Imputado asfixió a su conviviente y escondió el cuerpo en el patio de la casa ',' eldivisadero ',' eldivisadero.cl '); </v>
      </c>
    </row>
    <row r="44" spans="1:6" ht="283.5" thickBot="1">
      <c r="A44" s="1" t="s">
        <v>42</v>
      </c>
      <c r="B44" s="70">
        <v>42965</v>
      </c>
      <c r="C44" s="71" t="s">
        <v>1221</v>
      </c>
      <c r="D44" s="46" t="s">
        <v>1222</v>
      </c>
      <c r="E44" s="48" t="s">
        <v>1223</v>
      </c>
      <c r="F44" t="str">
        <f t="shared" si="0"/>
        <v xml:space="preserve">INSERT INTO fuente(direccion,fecha,Titulo, Nombre, Raiz) VALUES (' http://redaysen.com/hombre-acusado-de-femicidio-confeso-que-estrangulo-a-su-pareja_1503061272oZkxP.html ',' 42965 ',' Hombre acusado de femicidio confesó que estranguló a su pareja ',' redaysen ',' redaysen.com '); </v>
      </c>
    </row>
    <row r="45" spans="1:6" ht="409.6" thickBot="1">
      <c r="A45" s="1" t="s">
        <v>43</v>
      </c>
      <c r="B45" s="66">
        <v>42776</v>
      </c>
      <c r="C45" s="72" t="s">
        <v>1224</v>
      </c>
      <c r="D45" s="46" t="s">
        <v>1203</v>
      </c>
      <c r="E45" s="48" t="s">
        <v>1204</v>
      </c>
      <c r="F45" t="str">
        <f t="shared" si="0"/>
        <v xml:space="preserve">INSERT INTO fuente(direccion,fecha,Titulo, Nombre, Raiz) VALUES (' http://www.emol.com/noticias/Nacional/2017/02/10/844443/En-prision-sujeto-acusado-de-estrangular-su-pareja-y-luego-esconder-su-cuerpo-durante-cinco-dias-en-Coyhaique.html ',' 42776 ',' En prisión sujeto acusado de estrangular a su pareja y luego esconder su cuerpo durante cinco días en Coyhaique ',' emol ',' emol.com '); </v>
      </c>
    </row>
    <row r="46" spans="1:6" ht="409.6" thickBot="1">
      <c r="A46" s="1" t="s">
        <v>44</v>
      </c>
      <c r="B46" s="73">
        <v>42825</v>
      </c>
      <c r="C46" s="74" t="s">
        <v>1225</v>
      </c>
      <c r="D46" s="46" t="s">
        <v>1128</v>
      </c>
      <c r="E46" s="48" t="s">
        <v>1129</v>
      </c>
      <c r="F46" t="str">
        <f t="shared" si="0"/>
        <v xml:space="preserve">INSERT INTO fuente(direccion,fecha,Titulo, Nombre, Raiz) VALUES (' http://www.latercera.com/noticia/nuevo-femicidio-sujeto-mata-pareja-luego-se-suicida-san-bernardo/ ',' 42825 ',' Nuevo femicidio: Sujeto mata a su pareja y luego se suicida en San Bernardo ',' latercera ',' latercera.com '); </v>
      </c>
    </row>
    <row r="47" spans="1:6" ht="195.75" thickBot="1">
      <c r="A47" s="1" t="s">
        <v>45</v>
      </c>
      <c r="B47" s="75">
        <v>42825</v>
      </c>
      <c r="C47" s="76" t="s">
        <v>1226</v>
      </c>
      <c r="D47" s="46" t="s">
        <v>1193</v>
      </c>
      <c r="E47" s="48" t="s">
        <v>1194</v>
      </c>
      <c r="F47" t="str">
        <f t="shared" si="0"/>
        <v xml:space="preserve">INSERT INTO fuente(direccion,fecha,Titulo, Nombre, Raiz) VALUES (' http://www.24horas.cl/nacional/integra-emite-declaracion-publica-tras-femicidio-de-funcionaria-de-jardin-infantil-2344076 ',' 42825 ',' Integra emite declaración pública tras femicidio de funcionaria de jardín infantil ',' 24horas ',' 24horas.cl '); </v>
      </c>
    </row>
    <row r="48" spans="1:6" ht="270.75" thickBot="1">
      <c r="A48" s="1" t="s">
        <v>46</v>
      </c>
      <c r="B48" s="6" t="s">
        <v>1227</v>
      </c>
      <c r="C48" s="77" t="s">
        <v>1225</v>
      </c>
      <c r="D48" s="46" t="s">
        <v>1228</v>
      </c>
      <c r="E48" s="48" t="s">
        <v>1229</v>
      </c>
      <c r="F48" t="str">
        <f t="shared" si="0"/>
        <v xml:space="preserve">INSERT INTO fuente(direccion,fecha,Titulo, Nombre, Raiz) VALUES (' https://www.msn.com/es-us/noticias/estados-unidos/nuevo-femicidio-sujeto-mata-a-su-pareja-y-luego-se-suicida-en-san-bernardo/ar-BBz6gju?li=BBqdph5 ',' 3/31/2017
 ',' Nuevo femicidio: Sujeto mata a su pareja y luego se suicida en San Bernardo ',' msn ',' msn.com '); </v>
      </c>
    </row>
    <row r="49" spans="1:6" ht="255.75" thickBot="1">
      <c r="A49" s="1" t="s">
        <v>47</v>
      </c>
      <c r="B49" s="78">
        <v>42825</v>
      </c>
      <c r="C49" s="79" t="s">
        <v>1230</v>
      </c>
      <c r="D49" s="46" t="s">
        <v>1176</v>
      </c>
      <c r="E49" s="48" t="s">
        <v>1177</v>
      </c>
      <c r="F49" t="str">
        <f t="shared" si="0"/>
        <v xml:space="preserve">INSERT INTO fuente(direccion,fecha,Titulo, Nombre, Raiz) VALUES (' http://www.biobiochile.cl/noticias/nacional/chile/2017/03/31/nuevo-femicidio-en-san-bernardo-hombre-se-habria-ahorcado-tras-matar-a-su-pareja.shtml ',' 42825 ',' Nuevo femicidio: Hombre mató a su pareja y luego se suicidó en San Bernardo ',' biobiochile ',' biobiochile.cl '); </v>
      </c>
    </row>
    <row r="50" spans="1:6" ht="169.5" thickBot="1">
      <c r="A50" s="1" t="s">
        <v>48</v>
      </c>
      <c r="B50" s="80">
        <v>42825</v>
      </c>
      <c r="C50" s="81" t="s">
        <v>1231</v>
      </c>
      <c r="D50" s="46" t="s">
        <v>1232</v>
      </c>
      <c r="E50" s="48" t="s">
        <v>1233</v>
      </c>
      <c r="F50" t="str">
        <f t="shared" si="0"/>
        <v xml:space="preserve">INSERT INTO fuente(direccion,fecha,Titulo, Nombre, Raiz) VALUES (' http://www.diariocronica.cl/?p=9134 ',' 42825 ',' Femicidio y posterior suicidio impactan a Limache ',' diariocronica ',' diariocronica.cl '); </v>
      </c>
    </row>
    <row r="51" spans="1:6" ht="150.75" thickBot="1">
      <c r="A51" s="1" t="s">
        <v>49</v>
      </c>
      <c r="B51" s="82">
        <v>42825</v>
      </c>
      <c r="C51" s="51" t="s">
        <v>1234</v>
      </c>
      <c r="D51" s="46" t="s">
        <v>1193</v>
      </c>
      <c r="E51" s="48" t="s">
        <v>1194</v>
      </c>
      <c r="F51" t="str">
        <f t="shared" si="0"/>
        <v xml:space="preserve">INSERT INTO fuente(direccion,fecha,Titulo, Nombre, Raiz) VALUES (' http://www.24horas.cl/nacional/limache-encuentran-a-pareja-muerta-al-interior-de-un-hogar-2343880 ',' 42825 ',' Limache: Encuentran a pareja muerta al interior de un hogar ',' 24horas ',' 24horas.cl '); </v>
      </c>
    </row>
    <row r="52" spans="1:6" ht="210.75" thickBot="1">
      <c r="A52" s="1" t="s">
        <v>50</v>
      </c>
      <c r="B52" s="83">
        <v>42830</v>
      </c>
      <c r="C52" s="84" t="s">
        <v>1235</v>
      </c>
      <c r="D52" s="46" t="s">
        <v>1236</v>
      </c>
      <c r="E52" s="48" t="s">
        <v>1237</v>
      </c>
      <c r="F52" t="str">
        <f t="shared" si="0"/>
        <v xml:space="preserve">INSERT INTO fuente(direccion,fecha,Titulo, Nombre, Raiz) VALUES (' http://www.elmostrador.cl/noticias/pais/2017/04/05/mujer-de-30-anos-se-convierte-en-la-victima-12-de-feminicidio-en-lo-que-va-del-ano/ ',' 42830 ',' Mujer de 30 años se convierte en la víctima 12 de feminicidio en lo que va del año ',' elmostrador ',' elmostrador.cl '); </v>
      </c>
    </row>
    <row r="53" spans="1:6" ht="303" thickBot="1">
      <c r="A53" s="1" t="s">
        <v>51</v>
      </c>
      <c r="B53" s="66">
        <v>42826</v>
      </c>
      <c r="C53" s="85" t="s">
        <v>1238</v>
      </c>
      <c r="D53" s="46" t="s">
        <v>1239</v>
      </c>
      <c r="E53" s="48" t="s">
        <v>1240</v>
      </c>
      <c r="F53" t="str">
        <f t="shared" si="0"/>
        <v xml:space="preserve">INSERT INTO fuente(direccion,fecha,Titulo, Nombre, Raiz) VALUES (' http://www.canal74.cl/2017/04/labocar-de-carabineros-investiga-femicidio-en-la-comuna-de-limache/ ',' 42826 ',' Labocar de Carabineros investiga femicidio en la Comuna de Limache ',' canal74 ',' canal74.cl '); </v>
      </c>
    </row>
    <row r="54" spans="1:6" ht="240.75" thickBot="1">
      <c r="A54" s="1" t="s">
        <v>52</v>
      </c>
      <c r="B54" s="78">
        <v>42826</v>
      </c>
      <c r="C54" s="79" t="s">
        <v>1241</v>
      </c>
      <c r="D54" s="46" t="s">
        <v>1176</v>
      </c>
      <c r="E54" s="48" t="s">
        <v>1177</v>
      </c>
      <c r="F54" t="str">
        <f t="shared" si="0"/>
        <v xml:space="preserve">INSERT INTO fuente(direccion,fecha,Titulo, Nombre, Raiz) VALUES (' http://www.biobiochile.cl/noticias/nacional/chile/2017/04/01/impacto-luego-de-tres-casos-de-femicidio-en-menos-de-48-horas-es-un-problema-pais.shtml ',' 42826 ',' Impacto luego de tres casos de femicidio en menos de 48 horas: "Es un problema país" ',' biobiochile ',' biobiochile.cl '); </v>
      </c>
    </row>
    <row r="55" spans="1:6" ht="180.75" thickBot="1">
      <c r="A55" s="1" t="s">
        <v>53</v>
      </c>
      <c r="B55" s="86">
        <v>42825</v>
      </c>
      <c r="C55" s="87" t="s">
        <v>1242</v>
      </c>
      <c r="D55" s="46" t="s">
        <v>1243</v>
      </c>
      <c r="E55" s="53" t="s">
        <v>1244</v>
      </c>
      <c r="F55" t="str">
        <f t="shared" si="0"/>
        <v xml:space="preserve">INSERT INTO fuente(direccion,fecha,Titulo, Nombre, Raiz) VALUES (' http://www.radiovalparaiso.cl/2017/03/31/labocar-investiga-posible-femicidio-posterior-suicidio-del-autor-limache/ ',' 42825 ',' Labocar investiga posible femicidio con posterior suicidio del autor en Limache ',' radiovalparaiso ',' radiovalparaiso.cl '); </v>
      </c>
    </row>
    <row r="56" spans="1:6" ht="181.5" thickBot="1">
      <c r="A56" s="1" t="s">
        <v>54</v>
      </c>
      <c r="B56" s="88">
        <v>42831</v>
      </c>
      <c r="C56" s="51" t="s">
        <v>1245</v>
      </c>
      <c r="D56" s="46" t="s">
        <v>1128</v>
      </c>
      <c r="E56" s="48" t="s">
        <v>1129</v>
      </c>
      <c r="F56" t="str">
        <f t="shared" si="0"/>
        <v xml:space="preserve">INSERT INTO fuente(direccion,fecha,Titulo, Nombre, Raiz) VALUES (' http://www.latercera.com/noticia/los-detalles-del-macabro-femicidio-antofagasta-segun-relato-del-fiscal/ ',' 42831 ',' Los detalles del macabro femicidio en Antofagasta según el relato del fiscal ',' latercera ',' latercera.com '); </v>
      </c>
    </row>
    <row r="57" spans="1:6" ht="181.5" thickBot="1">
      <c r="A57" s="1" t="s">
        <v>55</v>
      </c>
      <c r="B57" s="88">
        <v>42829</v>
      </c>
      <c r="C57" s="51" t="s">
        <v>1246</v>
      </c>
      <c r="D57" s="46" t="s">
        <v>1128</v>
      </c>
      <c r="E57" s="48" t="s">
        <v>1129</v>
      </c>
      <c r="F57" t="str">
        <f t="shared" si="0"/>
        <v xml:space="preserve">INSERT INTO fuente(direccion,fecha,Titulo, Nombre, Raiz) VALUES (' http://www.latercera.com/noticia/encuentran-cadaver-mujer-al-interior-clinica-oftalmologica-antofagasta/ ',' 42829 ',' Encuentran cadáver de mujer al interior de clínica oftalmológica en Antofagasta ',' latercera ',' latercera.com '); </v>
      </c>
    </row>
    <row r="58" spans="1:6" ht="195.75" thickBot="1">
      <c r="A58" s="1" t="s">
        <v>56</v>
      </c>
      <c r="B58" s="89">
        <v>42832</v>
      </c>
      <c r="C58" s="51" t="s">
        <v>1247</v>
      </c>
      <c r="D58" s="46" t="s">
        <v>1248</v>
      </c>
      <c r="E58" s="53" t="s">
        <v>1249</v>
      </c>
      <c r="F58" t="str">
        <f t="shared" si="0"/>
        <v xml:space="preserve">INSERT INTO fuente(direccion,fecha,Titulo, Nombre, Raiz) VALUES (' http://www.diarioantofagasta.cl/regional/antofagasta/74368/la-impactante-confesion-del-imputado-femicidio-antofagasta/ ',' 42832 ',' La impactante confesión del imputado por femicidio en Antofagasta ',' diarioantofagasta ',' diarioantofagasta.cl '); </v>
      </c>
    </row>
    <row r="59" spans="1:6" ht="409.6" thickBot="1">
      <c r="A59" s="1" t="s">
        <v>57</v>
      </c>
      <c r="B59" s="90">
        <v>42829</v>
      </c>
      <c r="C59" s="72" t="s">
        <v>1250</v>
      </c>
      <c r="D59" s="46" t="s">
        <v>1203</v>
      </c>
      <c r="E59" s="48" t="s">
        <v>1204</v>
      </c>
      <c r="F59" t="str">
        <f t="shared" si="0"/>
        <v xml:space="preserve">INSERT INTO fuente(direccion,fecha,Titulo, Nombre, Raiz) VALUES (' http://www.emol.com/noticias/Nacional/2017/04/04/852715/Sujeto-confiesa-haber-asesinado-a-su-ex-esposa-al-interior-de-una-clinica-oftalmologica-en-Antofagasta.html ',' 42829 ',' Sujeto confiesa haber asesinado a su ex esposa al interior de una clínica oftalmológica en Antofagasta ',' emol ',' emol.com '); </v>
      </c>
    </row>
    <row r="60" spans="1:6" ht="409.6" thickBot="1">
      <c r="A60" s="1" t="s">
        <v>58</v>
      </c>
      <c r="B60" s="58">
        <v>42830</v>
      </c>
      <c r="C60" s="59" t="s">
        <v>1251</v>
      </c>
      <c r="D60" s="46" t="s">
        <v>1137</v>
      </c>
      <c r="E60" s="48" t="s">
        <v>1138</v>
      </c>
      <c r="F60" t="str">
        <f t="shared" si="0"/>
        <v xml:space="preserve">INSERT INTO fuente(direccion,fecha,Titulo, Nombre, Raiz) VALUES (' http://www.cooperativa.cl/noticias/pais/policial/femicidio/antofagasta-joven-madre-fue-asesinada-por-su-ex-marido/2017-04-05/123641.html ',' 42830 ',' Antofagasta: Joven madre fue asesinada por su ex marido ',' cooperativa ',' cooperativa.cl '); </v>
      </c>
    </row>
    <row r="61" spans="1:6" ht="409.6" thickBot="1">
      <c r="A61" s="1" t="s">
        <v>59</v>
      </c>
      <c r="B61" s="91">
        <v>42832</v>
      </c>
      <c r="C61" s="92" t="s">
        <v>1252</v>
      </c>
      <c r="D61" s="46" t="s">
        <v>1253</v>
      </c>
      <c r="E61" s="48" t="s">
        <v>1254</v>
      </c>
      <c r="F61" t="str">
        <f t="shared" si="0"/>
        <v xml:space="preserve">INSERT INTO fuente(direccion,fecha,Titulo, Nombre, Raiz) VALUES (' http://www.eldinamo.cl/nacional/2017/04/07/la-insolita-confesion-telefonica-de-acusado-de-femicidio-que-indigno-a-antofagasta/ ',' 42832 ',' La insólita confesión telefónica de acusado de femicidio que indignó a Antofagasta ',' eldinamo ',' eldinamo.cl '); </v>
      </c>
    </row>
    <row r="62" spans="1:6" ht="195.75" thickBot="1">
      <c r="A62" s="1" t="s">
        <v>60</v>
      </c>
      <c r="B62" s="78">
        <v>42832</v>
      </c>
      <c r="C62" s="79" t="s">
        <v>1255</v>
      </c>
      <c r="D62" s="46" t="s">
        <v>1176</v>
      </c>
      <c r="E62" s="48" t="s">
        <v>1177</v>
      </c>
      <c r="F62" t="str">
        <f t="shared" si="0"/>
        <v xml:space="preserve">INSERT INTO fuente(direccion,fecha,Titulo, Nombre, Raiz) VALUES (' http://www.biobiochile.cl/noticias/nacional/chile/2017/04/07/formalizan-a-hombre-acusado-de-femicidio-en-antofagasta.shtml ',' 42832 ',' "Me pegué un condoro": La insólita confesión del imputado de femicidio en Antofagasta ',' biobiochile ',' biobiochile.cl '); </v>
      </c>
    </row>
    <row r="63" spans="1:6" ht="283.5" thickBot="1">
      <c r="A63" s="1" t="s">
        <v>61</v>
      </c>
      <c r="B63" s="64">
        <v>42833</v>
      </c>
      <c r="C63" s="65" t="s">
        <v>1256</v>
      </c>
      <c r="D63" s="46" t="s">
        <v>1185</v>
      </c>
      <c r="E63" s="48" t="s">
        <v>1186</v>
      </c>
      <c r="F63" t="str">
        <f t="shared" si="0"/>
        <v xml:space="preserve">INSERT INTO fuente(direccion,fecha,Titulo, Nombre, Raiz) VALUES (' http://www.chvnoticias.cl/policial/carabineros-detuvo-a-principal-sospechoso-de-femicidio-en-dalcahue/2017-04-08/163913.html ',' 42833 ',' Carabineros detuvo a principal sospechoso de femicidio en Dalcahue ',' chvnoticias ',' chvnoticias.cl '); </v>
      </c>
    </row>
    <row r="64" spans="1:6" ht="180.75" thickBot="1">
      <c r="A64" s="1" t="s">
        <v>62</v>
      </c>
      <c r="B64" s="66">
        <v>42833</v>
      </c>
      <c r="C64" s="93" t="s">
        <v>1257</v>
      </c>
      <c r="D64" s="46" t="s">
        <v>1258</v>
      </c>
      <c r="E64" s="53" t="s">
        <v>1259</v>
      </c>
      <c r="F64" t="str">
        <f t="shared" si="0"/>
        <v xml:space="preserve">INSERT INTO fuente(direccion,fecha,Titulo, Nombre, Raiz) VALUES (' http://laopiniondechiloe.cl/la-violenta-historia-de-oriundos-de-osorno-tras-virtual-femicidio-en-dalcahue/ ',' 42833 ',' La violenta historia de oriundos de Osorno tras virtual femicidio en Dalcahue ',' laopiniondechiloe ',' laopiniondechiloe.cl '); </v>
      </c>
    </row>
    <row r="65" spans="1:6" ht="120.75" thickBot="1">
      <c r="A65" s="1" t="s">
        <v>63</v>
      </c>
      <c r="B65" s="89">
        <v>42835</v>
      </c>
      <c r="C65" s="51" t="s">
        <v>1260</v>
      </c>
      <c r="D65" s="46" t="s">
        <v>1261</v>
      </c>
      <c r="E65" s="53" t="s">
        <v>1262</v>
      </c>
      <c r="F65" t="str">
        <f t="shared" si="0"/>
        <v xml:space="preserve">INSERT INTO fuente(direccion,fecha,Titulo, Nombre, Raiz) VALUES (' http://www.radioestrelladelmar.cl/?p=11638 ',' 42835 ',' Femicidio ocurrido la noche del viernes conmueve a la comuna de Dalcahue ',' radioestrelladelmar ',' radioestrelladelmar.cl '); </v>
      </c>
    </row>
    <row r="66" spans="1:6" ht="165.75" thickBot="1">
      <c r="A66" s="1" t="s">
        <v>64</v>
      </c>
      <c r="B66" s="94">
        <v>42837</v>
      </c>
      <c r="C66" s="95" t="s">
        <v>1263</v>
      </c>
      <c r="D66" s="46" t="s">
        <v>1264</v>
      </c>
      <c r="E66" s="53" t="s">
        <v>1265</v>
      </c>
      <c r="F66" t="str">
        <f t="shared" si="0"/>
        <v xml:space="preserve">INSERT INTO fuente(direccion,fecha,Titulo, Nombre, Raiz) VALUES (' https://www.epicentrochile.com/2017/04/12/imputado-por-femicidio-en-chiloe-quedo-en-prision-preventiva/ ',' 42837 ',' Imputado por femicidio en Chiloé quedó en prisión preventiva ',' epicentrochile ',' epicentrochile.com '); </v>
      </c>
    </row>
    <row r="67" spans="1:6" ht="409.6" thickBot="1">
      <c r="A67" s="1" t="s">
        <v>65</v>
      </c>
      <c r="B67" s="96">
        <v>42833</v>
      </c>
      <c r="C67" s="97" t="s">
        <v>1266</v>
      </c>
      <c r="D67" s="46" t="s">
        <v>1267</v>
      </c>
      <c r="E67" s="48" t="s">
        <v>1268</v>
      </c>
      <c r="F67" t="str">
        <f t="shared" si="0"/>
        <v xml:space="preserve">INSERT INTO fuente(direccion,fecha,Titulo, Nombre, Raiz) VALUES (' http://www.paislobo.cl/2017/04/denuncias-de-violencia-intrafamiliar-en.html ',' 42833 ',' Denuncias de violencia intrafamiliar en Osorno tras el femicidio ocurrido en Dalcahu ',' paislobo ',' paislobo.cl '); </v>
      </c>
    </row>
    <row r="68" spans="1:6" ht="195.75" thickBot="1">
      <c r="A68" s="1" t="s">
        <v>66</v>
      </c>
      <c r="B68" s="75">
        <v>42836</v>
      </c>
      <c r="C68" s="76" t="s">
        <v>1269</v>
      </c>
      <c r="D68" s="46" t="s">
        <v>1193</v>
      </c>
      <c r="E68" s="48" t="s">
        <v>1194</v>
      </c>
      <c r="F68" t="str">
        <f>"INSERT INTO fuente(direccion,fecha,Titulo, Nombre, Raiz) VALUES (' "&amp;A68&amp;" ',' "&amp;B68&amp;" ',' "&amp;C68&amp;" ',' "&amp;D68&amp;" ',' "&amp;E68&amp;" '); "</f>
        <v xml:space="preserve">INSERT INTO fuente(direccion,fecha,Titulo, Nombre, Raiz) VALUES (' http://www.24horas.cl/nacional/femicidio-en-rancagua-joven-asesina-a-su-polola-y-luego-se-quita-la-vida-2352876 ',' 42836 ',' Femicidio en Rancagua: Joven asesina a su polola y luego se quita la vida ',' 24horas ',' 24horas.cl '); </v>
      </c>
    </row>
    <row r="69" spans="1:6" ht="327" thickBot="1">
      <c r="A69" s="1" t="s">
        <v>67</v>
      </c>
      <c r="B69" s="70">
        <v>42836</v>
      </c>
      <c r="C69" s="71" t="s">
        <v>1270</v>
      </c>
      <c r="D69" s="46" t="s">
        <v>1271</v>
      </c>
      <c r="E69" s="48" t="s">
        <v>1272</v>
      </c>
      <c r="F69" t="str">
        <f>"INSERT INTO fuente(direccion,fecha,Titulo, Nombre, Raiz) VALUES (' "&amp;A69&amp;" ',' "&amp;B69&amp;" ',' "&amp;C69&amp;" ',' "&amp;D69&amp;" ',' "&amp;E69&amp;" '); "</f>
        <v xml:space="preserve">INSERT INTO fuente(direccion,fecha,Titulo, Nombre, Raiz) VALUES (' http://redohiggins.com/femicidio-joven-de-29-anos-mato-a-su-pareja-y-posteriormente-se-suicido_1491934845Rnfx4.html ',' 42836 ',' Femicidio: joven de 29 años mató a su pareja y posteriormente se suicidó ',' redohiggins ',' redohiggins.com '); </v>
      </c>
    </row>
  </sheetData>
  <hyperlinks>
    <hyperlink ref="A2" r:id="rId1"/>
    <hyperlink ref="E2" r:id="rId2" display="http://elproa.cl/"/>
    <hyperlink ref="A3" r:id="rId3"/>
    <hyperlink ref="E3" r:id="rId4" display="http://cablenoticias.cl/"/>
    <hyperlink ref="A4" r:id="rId5"/>
    <hyperlink ref="E4" r:id="rId6" display="http://latercera.com/"/>
    <hyperlink ref="A5" r:id="rId7"/>
    <hyperlink ref="E5" r:id="rId8" display="http://eldeber.com.bo/"/>
    <hyperlink ref="A6" r:id="rId9"/>
    <hyperlink ref="E6" r:id="rId10" display="http://eju.tv/"/>
    <hyperlink ref="A7" r:id="rId11"/>
    <hyperlink ref="E7" r:id="rId12" display="http://cooperativa.cl/"/>
    <hyperlink ref="A8" r:id="rId13"/>
    <hyperlink ref="E8" r:id="rId14" display="http://cooperativa.cl/"/>
    <hyperlink ref="A9" r:id="rId15"/>
    <hyperlink ref="E9" r:id="rId16" display="http://la-razon.com/"/>
    <hyperlink ref="A10" r:id="rId17"/>
    <hyperlink ref="E10" r:id="rId18" display="http://noticiasfides.com/"/>
    <hyperlink ref="A11" r:id="rId19" location="gid=0" display="https://docs.google.com/spreadsheets/d/1OY8YymIGJzEYTBVKwpkGE-vDsYz3rKSjNe1TUj3qt40/edit?ts=588a2a74 - gid=0"/>
    <hyperlink ref="E11" r:id="rId20" display="http://docs.google.com/"/>
    <hyperlink ref="A12" r:id="rId21"/>
    <hyperlink ref="E12" r:id="rId22" display="http://ntn24.com/"/>
    <hyperlink ref="A13" r:id="rId23"/>
    <hyperlink ref="E13" r:id="rId24" display="http://noticiasrcn.com/"/>
    <hyperlink ref="A14" r:id="rId25"/>
    <hyperlink ref="E14" r:id="rId26" display="http://minmujeryeg.cl/"/>
    <hyperlink ref="A15" r:id="rId27"/>
    <hyperlink ref="E15" r:id="rId28" display="http://eldesconcierto.cl/"/>
    <hyperlink ref="A16" r:id="rId29"/>
    <hyperlink ref="E16" r:id="rId30" display="http://araucaniacuenta.cl/"/>
    <hyperlink ref="A17" r:id="rId31"/>
    <hyperlink ref="E17" r:id="rId32" display="http://diarioelcentro.cl/"/>
    <hyperlink ref="A18" r:id="rId33"/>
    <hyperlink ref="E18" r:id="rId34" display="http://lanacion.cl/"/>
    <hyperlink ref="A19" r:id="rId35"/>
    <hyperlink ref="E19" r:id="rId36" display="http://edicioncero.cl/"/>
    <hyperlink ref="A20" r:id="rId37"/>
    <hyperlink ref="E20" r:id="rId38" display="http://atentos.cl/"/>
    <hyperlink ref="A21" r:id="rId39"/>
    <hyperlink ref="E21" r:id="rId40" display="http://biobiochile.cl/"/>
    <hyperlink ref="A22" r:id="rId41"/>
    <hyperlink ref="E22" r:id="rId42" display="http://t13.cl/"/>
    <hyperlink ref="A23" r:id="rId43"/>
    <hyperlink ref="E23" r:id="rId44" display="http://diarioeldia.cl/"/>
    <hyperlink ref="A24" r:id="rId45"/>
    <hyperlink ref="E24" r:id="rId46" display="http://chvnoticias.cl/"/>
    <hyperlink ref="A25" r:id="rId47"/>
    <hyperlink ref="E25" r:id="rId48" display="http://latercera.com/"/>
    <hyperlink ref="A26" r:id="rId49"/>
    <hyperlink ref="E26" r:id="rId50" display="http://cooperativa.cl/"/>
    <hyperlink ref="A27" r:id="rId51"/>
    <hyperlink ref="E27" r:id="rId52" display="http://adnradio.cl/"/>
    <hyperlink ref="A28" r:id="rId53"/>
    <hyperlink ref="E28" r:id="rId54" display="http://24horas.cl/"/>
    <hyperlink ref="A29" r:id="rId55"/>
    <hyperlink ref="A30" r:id="rId56"/>
    <hyperlink ref="E30" r:id="rId57" display="http://eldesconcierto.cl/"/>
    <hyperlink ref="A31" r:id="rId58" location="sthash.OhN0EPbC.dpbs" display="http://www.ladiscusion.cl/detalle/10722/Investigan-posible-femicidio-en-la-comuna-de-Pemuco - sthash.OhN0EPbC.dpbs"/>
    <hyperlink ref="B31" r:id="rId59" display="http://www.ladiscusion.cl/detalle/10722/Investigan-posible-femicidio-en-la-comuna-de-Pemuco"/>
    <hyperlink ref="E31" r:id="rId60" display="http://ladiscusion.cl/"/>
    <hyperlink ref="A32" r:id="rId61"/>
    <hyperlink ref="E32" r:id="rId62" display="http://biobiochile.cl/"/>
    <hyperlink ref="A33" r:id="rId63"/>
    <hyperlink ref="E33" r:id="rId64" display="http://emol.com/"/>
    <hyperlink ref="A34" r:id="rId65"/>
    <hyperlink ref="E34" r:id="rId66" display="http://24horas.cl/"/>
    <hyperlink ref="A35" r:id="rId67"/>
    <hyperlink ref="E35" r:id="rId68" display="http://diarioelcentro.cl/"/>
    <hyperlink ref="A36" r:id="rId69"/>
    <hyperlink ref="E36" r:id="rId70" display="http://eldiario.ec/"/>
    <hyperlink ref="A37" r:id="rId71"/>
    <hyperlink ref="E37" r:id="rId72" display="http://cooperativa.cl/"/>
    <hyperlink ref="A38" r:id="rId73"/>
    <hyperlink ref="E38" r:id="rId74" display="http://diarioeldia.cl/"/>
    <hyperlink ref="A39" r:id="rId75"/>
    <hyperlink ref="E39" r:id="rId76" display="http://efe.com/"/>
    <hyperlink ref="A40" r:id="rId77"/>
    <hyperlink ref="E40" r:id="rId78" display="http://chvnoticias.cl/"/>
    <hyperlink ref="A41" r:id="rId79"/>
    <hyperlink ref="E41" r:id="rId80" display="http://cooperativa.cl/"/>
    <hyperlink ref="A42" r:id="rId81"/>
    <hyperlink ref="E42" r:id="rId82" display="http://wradio.com.co/"/>
    <hyperlink ref="A43" r:id="rId83"/>
    <hyperlink ref="E43" r:id="rId84" display="http://eldivisadero.cl/"/>
    <hyperlink ref="A44" r:id="rId85"/>
    <hyperlink ref="E44" r:id="rId86" display="http://redaysen.com/"/>
    <hyperlink ref="A45" r:id="rId87"/>
    <hyperlink ref="E45" r:id="rId88" display="http://emol.com/"/>
    <hyperlink ref="A46" r:id="rId89"/>
    <hyperlink ref="E46" r:id="rId90" display="http://latercera.com/"/>
    <hyperlink ref="A47" r:id="rId91"/>
    <hyperlink ref="E47" r:id="rId92" display="http://24horas.cl/"/>
    <hyperlink ref="A48" r:id="rId93"/>
    <hyperlink ref="E48" r:id="rId94" display="http://msn.com/"/>
    <hyperlink ref="A49" r:id="rId95"/>
    <hyperlink ref="E49" r:id="rId96" display="http://biobiochile.cl/"/>
    <hyperlink ref="A50" r:id="rId97"/>
    <hyperlink ref="E50" r:id="rId98" display="http://diariocronica.cl/"/>
    <hyperlink ref="A51" r:id="rId99"/>
    <hyperlink ref="E51" r:id="rId100" display="http://24horas.cl/"/>
    <hyperlink ref="A52" r:id="rId101"/>
    <hyperlink ref="E52" r:id="rId102" display="http://elmostrador.cl/"/>
    <hyperlink ref="A53" r:id="rId103"/>
    <hyperlink ref="E53" r:id="rId104" display="http://canal74.cl/"/>
    <hyperlink ref="A54" r:id="rId105"/>
    <hyperlink ref="E54" r:id="rId106" display="http://biobiochile.cl/"/>
    <hyperlink ref="A55" r:id="rId107"/>
    <hyperlink ref="E55" r:id="rId108" display="http://radiovalparaiso.cl/"/>
    <hyperlink ref="A56" r:id="rId109"/>
    <hyperlink ref="E56" r:id="rId110" display="http://latercera.com/"/>
    <hyperlink ref="A57" r:id="rId111"/>
    <hyperlink ref="E57" r:id="rId112" display="http://latercera.com/"/>
    <hyperlink ref="A58" r:id="rId113"/>
    <hyperlink ref="E58" r:id="rId114" display="http://diarioantofagasta.cl/"/>
    <hyperlink ref="A59" r:id="rId115"/>
    <hyperlink ref="E59" r:id="rId116" display="http://emol.com/"/>
    <hyperlink ref="A60" r:id="rId117"/>
    <hyperlink ref="E60" r:id="rId118" display="http://cooperativa.cl/"/>
    <hyperlink ref="A61" r:id="rId119"/>
    <hyperlink ref="E61" r:id="rId120" display="http://eldinamo.cl/"/>
    <hyperlink ref="A62" r:id="rId121"/>
    <hyperlink ref="E62" r:id="rId122" display="http://biobiochile.cl/"/>
    <hyperlink ref="A63" r:id="rId123"/>
    <hyperlink ref="E63" r:id="rId124" display="http://chvnoticias.cl/"/>
    <hyperlink ref="A64" r:id="rId125"/>
    <hyperlink ref="E64" r:id="rId126" display="http://laopiniondechiloe.cl/"/>
    <hyperlink ref="A65" r:id="rId127"/>
    <hyperlink ref="E65" r:id="rId128" display="http://radioestrelladelmar.cl/"/>
    <hyperlink ref="A66" r:id="rId129"/>
    <hyperlink ref="E66" r:id="rId130" display="http://epicentrochile.com/"/>
    <hyperlink ref="A67" r:id="rId131"/>
    <hyperlink ref="E67" r:id="rId132" display="http://paislobo.cl/"/>
    <hyperlink ref="A68" r:id="rId133"/>
    <hyperlink ref="E68" r:id="rId134" display="http://24horas.cl/"/>
    <hyperlink ref="A69" r:id="rId135"/>
    <hyperlink ref="E69" r:id="rId136" display="http://redohiggins.com/"/>
  </hyperlinks>
  <pageMargins left="0.7" right="0.7" top="0.75" bottom="0.75" header="0.3" footer="0.3"/>
  <pageSetup orientation="portrait" verticalDpi="300" r:id="rId13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Piñero</dc:creator>
  <cp:lastModifiedBy>Usuario</cp:lastModifiedBy>
  <dcterms:created xsi:type="dcterms:W3CDTF">2011-10-31T08:57:23Z</dcterms:created>
  <dcterms:modified xsi:type="dcterms:W3CDTF">2018-01-11T11:40:27Z</dcterms:modified>
</cp:coreProperties>
</file>